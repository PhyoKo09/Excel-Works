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D:\MY_Portfolio\Excel\Coffee Sale Dashboard\"/>
    </mc:Choice>
  </mc:AlternateContent>
  <xr:revisionPtr revIDLastSave="0" documentId="13_ncr:1_{635A5D04-2AB2-4647-9E01-B5D772ADCC7A}"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0"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874" i="17"/>
  <c r="N16" i="17"/>
  <c r="N71" i="17"/>
  <c r="N89" i="17"/>
  <c r="N143" i="17"/>
  <c r="N197" i="17"/>
  <c r="N199" i="17"/>
  <c r="N245" i="17"/>
  <c r="N260" i="17"/>
  <c r="N302" i="17"/>
  <c r="N308" i="17"/>
  <c r="N356" i="17"/>
  <c r="N364" i="17"/>
  <c r="N409" i="17"/>
  <c r="N414" i="17"/>
  <c r="N467" i="17"/>
  <c r="N511" i="17"/>
  <c r="N560" i="17"/>
  <c r="N609" i="17"/>
  <c r="N642" i="17"/>
  <c r="N679" i="17"/>
  <c r="N713" i="17"/>
  <c r="N751" i="17"/>
  <c r="N782" i="17"/>
  <c r="N815" i="17"/>
  <c r="N845" i="17"/>
  <c r="N879" i="17"/>
  <c r="N904" i="17"/>
  <c r="N929" i="17"/>
  <c r="N952" i="17"/>
  <c r="N977" i="17"/>
  <c r="N1000" i="17"/>
  <c r="M18" i="17"/>
  <c r="M25" i="17"/>
  <c r="M48" i="17"/>
  <c r="M66" i="17"/>
  <c r="M73" i="17"/>
  <c r="M96" i="17"/>
  <c r="M114" i="17"/>
  <c r="M121" i="17"/>
  <c r="M144" i="17"/>
  <c r="M162" i="17"/>
  <c r="M169" i="17"/>
  <c r="M192" i="17"/>
  <c r="M207" i="17"/>
  <c r="M212" i="17"/>
  <c r="M229" i="17"/>
  <c r="M243" i="17"/>
  <c r="M248" i="17"/>
  <c r="M265" i="17"/>
  <c r="M279" i="17"/>
  <c r="M284" i="17"/>
  <c r="M301" i="17"/>
  <c r="M315" i="17"/>
  <c r="M320" i="17"/>
  <c r="M337" i="17"/>
  <c r="M351" i="17"/>
  <c r="M356" i="17"/>
  <c r="M373" i="17"/>
  <c r="M387" i="17"/>
  <c r="M392" i="17"/>
  <c r="M409" i="17"/>
  <c r="M423" i="17"/>
  <c r="M428" i="17"/>
  <c r="M445" i="17"/>
  <c r="M459" i="17"/>
  <c r="M464" i="17"/>
  <c r="M481" i="17"/>
  <c r="M495" i="17"/>
  <c r="M500" i="17"/>
  <c r="M517" i="17"/>
  <c r="M531" i="17"/>
  <c r="M535" i="17"/>
  <c r="M550" i="17"/>
  <c r="M566" i="17"/>
  <c r="M579" i="17"/>
  <c r="M583" i="17"/>
  <c r="M598" i="17"/>
  <c r="M614" i="17"/>
  <c r="M631" i="17"/>
  <c r="M646" i="17"/>
  <c r="M662" i="17"/>
  <c r="M679" i="17"/>
  <c r="M694" i="17"/>
  <c r="M710" i="17"/>
  <c r="M727" i="17"/>
  <c r="M742" i="17"/>
  <c r="M758" i="17"/>
  <c r="M775" i="17"/>
  <c r="M790" i="17"/>
  <c r="M806" i="17"/>
  <c r="M823" i="17"/>
  <c r="M838" i="17"/>
  <c r="M854" i="17"/>
  <c r="M871" i="17"/>
  <c r="M886" i="17"/>
  <c r="M899" i="17"/>
  <c r="M906" i="17"/>
  <c r="M913" i="17"/>
  <c r="M926" i="17"/>
  <c r="M939" i="17"/>
  <c r="M945" i="17"/>
  <c r="M952" i="17"/>
  <c r="M965" i="17"/>
  <c r="M978" i="17"/>
  <c r="M991" i="17"/>
  <c r="L12" i="17"/>
  <c r="M12" i="17" s="1"/>
  <c r="J6" i="17"/>
  <c r="O6" i="17" s="1"/>
  <c r="I3" i="17"/>
  <c r="N3" i="17" s="1"/>
  <c r="J3" i="17"/>
  <c r="O3" i="17" s="1"/>
  <c r="K3" i="17"/>
  <c r="L3" i="17"/>
  <c r="M3" i="17" s="1"/>
  <c r="I4" i="17"/>
  <c r="N4" i="17" s="1"/>
  <c r="J4" i="17"/>
  <c r="O4" i="17" s="1"/>
  <c r="K4" i="17"/>
  <c r="L4" i="17"/>
  <c r="M4" i="17" s="1"/>
  <c r="I5" i="17"/>
  <c r="N5" i="17" s="1"/>
  <c r="J5" i="17"/>
  <c r="O5" i="17" s="1"/>
  <c r="K5" i="17"/>
  <c r="L5" i="17"/>
  <c r="M5" i="17" s="1"/>
  <c r="I6" i="17"/>
  <c r="N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I13" i="17"/>
  <c r="N13" i="17" s="1"/>
  <c r="J13" i="17"/>
  <c r="O13" i="17" s="1"/>
  <c r="K13" i="17"/>
  <c r="L13" i="17"/>
  <c r="M13" i="17" s="1"/>
  <c r="I14" i="17"/>
  <c r="N14" i="17" s="1"/>
  <c r="J14" i="17"/>
  <c r="O14" i="17" s="1"/>
  <c r="K14" i="17"/>
  <c r="L14" i="17"/>
  <c r="M14" i="17" s="1"/>
  <c r="I15" i="17"/>
  <c r="N15" i="17" s="1"/>
  <c r="J15" i="17"/>
  <c r="O15" i="17" s="1"/>
  <c r="K15" i="17"/>
  <c r="L15" i="17"/>
  <c r="M15" i="17" s="1"/>
  <c r="I16" i="17"/>
  <c r="J16" i="17"/>
  <c r="O16" i="17" s="1"/>
  <c r="K16" i="17"/>
  <c r="L16" i="17"/>
  <c r="M16" i="17" s="1"/>
  <c r="I17" i="17"/>
  <c r="N17" i="17" s="1"/>
  <c r="J17" i="17"/>
  <c r="O17" i="17" s="1"/>
  <c r="K17" i="17"/>
  <c r="L17" i="17"/>
  <c r="M17" i="17" s="1"/>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J71" i="17"/>
  <c r="O71" i="17" s="1"/>
  <c r="K71" i="17"/>
  <c r="L71" i="17"/>
  <c r="M71" i="17" s="1"/>
  <c r="I72" i="17"/>
  <c r="N72" i="17" s="1"/>
  <c r="J72" i="17"/>
  <c r="O72" i="17" s="1"/>
  <c r="K72" i="17"/>
  <c r="L72" i="17"/>
  <c r="M72" i="17" s="1"/>
  <c r="I73" i="17"/>
  <c r="N73" i="17" s="1"/>
  <c r="J73" i="17"/>
  <c r="O73" i="17" s="1"/>
  <c r="K73" i="17"/>
  <c r="L73" i="17"/>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J143" i="17"/>
  <c r="O143" i="17" s="1"/>
  <c r="K143" i="17"/>
  <c r="L143" i="17"/>
  <c r="M143" i="17" s="1"/>
  <c r="I144" i="17"/>
  <c r="N144" i="17" s="1"/>
  <c r="J144" i="17"/>
  <c r="O144" i="17" s="1"/>
  <c r="K144" i="17"/>
  <c r="L144" i="17"/>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J197" i="17"/>
  <c r="O197" i="17" s="1"/>
  <c r="K197" i="17"/>
  <c r="L197" i="17"/>
  <c r="M197" i="17" s="1"/>
  <c r="I198" i="17"/>
  <c r="N198" i="17" s="1"/>
  <c r="J198" i="17"/>
  <c r="O198" i="17" s="1"/>
  <c r="K198" i="17"/>
  <c r="L198" i="17"/>
  <c r="M198" i="17" s="1"/>
  <c r="I199" i="17"/>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I244" i="17"/>
  <c r="N244" i="17" s="1"/>
  <c r="J244" i="17"/>
  <c r="O244" i="17" s="1"/>
  <c r="K244" i="17"/>
  <c r="L244" i="17"/>
  <c r="M244" i="17" s="1"/>
  <c r="I245" i="17"/>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I302" i="17"/>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J356" i="17"/>
  <c r="O356" i="17" s="1"/>
  <c r="K356" i="17"/>
  <c r="L356" i="17"/>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J409" i="17"/>
  <c r="O409" i="17" s="1"/>
  <c r="K409" i="17"/>
  <c r="L409" i="17"/>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I465" i="17"/>
  <c r="N465" i="17" s="1"/>
  <c r="J465" i="17"/>
  <c r="O465" i="17" s="1"/>
  <c r="K465" i="17"/>
  <c r="L465" i="17"/>
  <c r="M465" i="17" s="1"/>
  <c r="I466" i="17"/>
  <c r="N466" i="17" s="1"/>
  <c r="J466" i="17"/>
  <c r="O466" i="17" s="1"/>
  <c r="K466" i="17"/>
  <c r="L466" i="17"/>
  <c r="M466" i="17" s="1"/>
  <c r="I467" i="17"/>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J679" i="17"/>
  <c r="O679" i="17" s="1"/>
  <c r="K679" i="17"/>
  <c r="L679" i="17"/>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I711" i="17"/>
  <c r="N711" i="17" s="1"/>
  <c r="J711" i="17"/>
  <c r="O711" i="17" s="1"/>
  <c r="K711" i="17"/>
  <c r="L711" i="17"/>
  <c r="M711" i="17" s="1"/>
  <c r="I712" i="17"/>
  <c r="N712" i="17" s="1"/>
  <c r="J712" i="17"/>
  <c r="O712" i="17" s="1"/>
  <c r="K712" i="17"/>
  <c r="L712" i="17"/>
  <c r="M712" i="17" s="1"/>
  <c r="I713" i="17"/>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I872" i="17"/>
  <c r="N872" i="17" s="1"/>
  <c r="J872" i="17"/>
  <c r="O872" i="17" s="1"/>
  <c r="K872" i="17"/>
  <c r="L872" i="17"/>
  <c r="M872" i="17" s="1"/>
  <c r="I873" i="17"/>
  <c r="N873" i="17" s="1"/>
  <c r="J873" i="17"/>
  <c r="O873" i="17" s="1"/>
  <c r="K873" i="17"/>
  <c r="L873" i="17"/>
  <c r="M873" i="17" s="1"/>
  <c r="I874" i="17"/>
  <c r="N874" i="17" s="1"/>
  <c r="J874" i="17"/>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J904" i="17"/>
  <c r="O904" i="17" s="1"/>
  <c r="K904" i="17"/>
  <c r="L904" i="17"/>
  <c r="M904" i="17" s="1"/>
  <c r="I905" i="17"/>
  <c r="N905" i="17" s="1"/>
  <c r="J905" i="17"/>
  <c r="O905" i="17" s="1"/>
  <c r="K905" i="17"/>
  <c r="L905" i="17"/>
  <c r="M905" i="17" s="1"/>
  <c r="I906" i="17"/>
  <c r="N906" i="17" s="1"/>
  <c r="J906" i="17"/>
  <c r="O906" i="17" s="1"/>
  <c r="K906" i="17"/>
  <c r="L906" i="17"/>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I927" i="17"/>
  <c r="N927" i="17" s="1"/>
  <c r="J927" i="17"/>
  <c r="O927" i="17" s="1"/>
  <c r="K927" i="17"/>
  <c r="L927" i="17"/>
  <c r="M927" i="17" s="1"/>
  <c r="I928" i="17"/>
  <c r="N928" i="17" s="1"/>
  <c r="J928" i="17"/>
  <c r="O928" i="17" s="1"/>
  <c r="K928" i="17"/>
  <c r="L928" i="17"/>
  <c r="M928" i="17" s="1"/>
  <c r="I929" i="17"/>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J952" i="17"/>
  <c r="O952" i="17" s="1"/>
  <c r="K952" i="17"/>
  <c r="L952" i="17"/>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J977" i="17"/>
  <c r="O977" i="17" s="1"/>
  <c r="K977" i="17"/>
  <c r="L977" i="17"/>
  <c r="M977" i="17" s="1"/>
  <c r="I978" i="17"/>
  <c r="N978" i="17" s="1"/>
  <c r="J978" i="17"/>
  <c r="O978" i="17" s="1"/>
  <c r="K978" i="17"/>
  <c r="L978" i="17"/>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18" i="17"/>
  <c r="F3" i="17"/>
  <c r="F4" i="17"/>
  <c r="F5" i="17"/>
  <c r="F6" i="17"/>
  <c r="F7" i="17"/>
  <c r="F8" i="17"/>
  <c r="F9" i="17"/>
  <c r="F10" i="17"/>
  <c r="F11" i="17"/>
  <c r="F12" i="17"/>
  <c r="F13" i="17"/>
  <c r="F14" i="17"/>
  <c r="F15" i="17"/>
  <c r="F16" i="17"/>
  <c r="F17" i="17"/>
  <c r="F2" i="17"/>
</calcChain>
</file>

<file path=xl/sharedStrings.xml><?xml version="1.0" encoding="utf-8"?>
<sst xmlns="http://schemas.openxmlformats.org/spreadsheetml/2006/main" count="11132" uniqueCount="6221">
  <si>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</si>
  <si>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</si>
  <si>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</si>
  <si>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</si>
  <si>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</si>
  <si>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</si>
  <si>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</si>
  <si>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</si>
  <si>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</si>
  <si>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</si>
  <si>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</si>
  <si>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</si>
  <si>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</si>
  <si>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</si>
  <si>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</si>
  <si>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</si>
  <si>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</si>
  <si>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</si>
  <si>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</si>
  <si>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</si>
  <si>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</si>
  <si>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</si>
  <si>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</si>
  <si>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</si>
  <si>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</si>
  <si>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</si>
  <si>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</si>
  <si>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</si>
  <si>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</si>
  <si>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</si>
  <si>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</si>
  <si>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</si>
  <si>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</si>
  <si>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</si>
  <si>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</si>
  <si>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</si>
  <si>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</si>
  <si>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</si>
  <si>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</si>
  <si>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</si>
  <si>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</si>
  <si>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</si>
  <si>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</si>
  <si>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</si>
  <si>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</si>
  <si>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</si>
  <si>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</si>
  <si>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</si>
  <si>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</si>
  <si>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</si>
  <si>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</si>
  <si>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</si>
  <si>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</si>
  <si>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</si>
  <si>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</si>
  <si>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</si>
  <si>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</si>
  <si>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</si>
  <si>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</si>
  <si>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</si>
  <si>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</si>
  <si>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</si>
  <si>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</si>
  <si>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</si>
  <si>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</si>
  <si>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</si>
  <si>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</si>
  <si>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</si>
  <si>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</si>
  <si>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</si>
  <si>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</si>
  <si>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</si>
  <si>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</si>
  <si>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</si>
  <si>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</si>
  <si>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</si>
  <si>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</si>
  <si>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</si>
  <si>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</si>
  <si>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</si>
  <si>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</si>
  <si>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</si>
  <si>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</si>
  <si>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</si>
  <si>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</si>
  <si>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</si>
  <si>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</si>
  <si>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</si>
  <si>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</si>
  <si>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</si>
  <si>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</si>
  <si>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</si>
  <si>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</si>
  <si>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</si>
  <si>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</si>
  <si>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</si>
  <si>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</si>
  <si>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</si>
  <si>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</si>
  <si>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</si>
  <si>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</si>
  <si>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</si>
  <si>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</si>
  <si>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</si>
  <si>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</si>
  <si>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</si>
  <si>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</si>
  <si>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</si>
  <si>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</si>
  <si>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</si>
  <si>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</si>
  <si>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</si>
  <si>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</si>
  <si>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</si>
  <si>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</si>
  <si>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</si>
  <si>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</si>
  <si>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</si>
  <si>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</si>
  <si>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</si>
  <si>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</si>
  <si>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</si>
  <si>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</si>
  <si>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</si>
  <si>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</si>
  <si>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</si>
  <si>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</si>
  <si>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</si>
  <si>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</si>
  <si>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</si>
  <si>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</si>
  <si>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</si>
  <si>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</si>
  <si>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</si>
  <si>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</si>
  <si>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</si>
  <si>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</si>
  <si>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</si>
  <si>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</si>
  <si>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</si>
  <si>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</si>
  <si>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</si>
  <si>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</si>
  <si>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</si>
  <si>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</si>
  <si>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</si>
  <si>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</si>
  <si>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</si>
  <si>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</si>
  <si>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</si>
  <si>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</si>
  <si>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</si>
  <si>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</si>
  <si>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</si>
  <si>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</si>
  <si>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</si>
  <si>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</si>
  <si>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</si>
  <si>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</si>
  <si>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</si>
  <si>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</si>
  <si>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</si>
  <si>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</si>
  <si>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</si>
  <si>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</si>
  <si>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</si>
  <si>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</si>
  <si>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</si>
  <si>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</si>
  <si>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</si>
  <si>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</si>
  <si>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</si>
  <si>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</si>
  <si>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</si>
  <si>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</si>
  <si>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</si>
  <si>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</si>
  <si>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</si>
  <si>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</si>
  <si>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</si>
  <si>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</si>
  <si>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</si>
  <si>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</si>
  <si>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</si>
  <si>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</si>
  <si>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</si>
  <si>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</si>
  <si>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</si>
  <si>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</si>
  <si>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</si>
  <si>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</si>
  <si>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</si>
  <si>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</si>
  <si>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</si>
  <si>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</si>
  <si>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</si>
  <si>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</si>
  <si>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</si>
  <si>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</si>
  <si>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</si>
  <si>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</si>
  <si>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</si>
  <si>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</si>
  <si>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</si>
  <si>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</si>
  <si>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</si>
  <si>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</si>
  <si>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</si>
  <si>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</si>
  <si>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</si>
  <si>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</si>
  <si>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</si>
  <si>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</si>
  <si>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</si>
  <si>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</si>
  <si>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</si>
  <si>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</si>
  <si>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</si>
  <si>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</si>
  <si>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</si>
  <si>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</si>
  <si>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</si>
  <si>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</si>
  <si>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</si>
  <si>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</si>
  <si>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</si>
  <si>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</si>
  <si>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</si>
  <si>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</si>
  <si>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</si>
  <si>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</si>
  <si>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</si>
  <si>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</si>
  <si>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</si>
  <si>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</si>
  <si>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</si>
  <si>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</si>
  <si>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</si>
  <si>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</si>
  <si>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</si>
  <si>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</si>
  <si>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</si>
  <si>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</si>
  <si>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</si>
  <si>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</si>
  <si>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</si>
  <si>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</si>
  <si>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</si>
  <si>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</si>
  <si>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</si>
  <si>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</si>
  <si>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</si>
  <si>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</si>
  <si>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</si>
  <si>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</si>
  <si>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</si>
  <si>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</si>
  <si>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</si>
  <si>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</si>
  <si>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</si>
  <si>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</si>
  <si>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</si>
  <si>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</si>
  <si>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</si>
  <si>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</si>
  <si>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</si>
  <si>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</si>
  <si>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</si>
  <si>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</si>
  <si>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</si>
  <si>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</si>
  <si>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</si>
  <si>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</si>
  <si>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</si>
  <si>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</si>
  <si>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</si>
  <si>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</si>
  <si>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</si>
  <si>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</si>
  <si>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</si>
  <si>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</si>
  <si>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</si>
  <si>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</si>
  <si>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</si>
  <si>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</si>
  <si>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</si>
  <si>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</si>
  <si>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</si>
  <si>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</si>
  <si>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</si>
  <si>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</si>
  <si>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</si>
  <si>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</si>
  <si>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</si>
  <si>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</si>
  <si>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</si>
  <si>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</si>
  <si>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</si>
  <si>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</si>
  <si>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</si>
  <si>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</si>
  <si>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</si>
  <si>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</si>
  <si>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</si>
  <si>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</si>
  <si>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</si>
  <si>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</si>
  <si>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</si>
  <si>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</si>
  <si>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</si>
  <si>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</si>
  <si>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</si>
  <si>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</si>
  <si>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</si>
  <si>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</si>
  <si>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</si>
  <si>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</si>
  <si>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</si>
  <si>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</si>
  <si>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</si>
  <si>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</si>
  <si>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</si>
  <si>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</si>
  <si>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</si>
  <si>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</si>
  <si>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</si>
  <si>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</si>
  <si>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</si>
  <si>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</si>
  <si>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</si>
  <si>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</si>
  <si>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</si>
  <si>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</si>
  <si>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</si>
  <si>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</si>
  <si>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</si>
  <si>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</si>
  <si>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</si>
  <si>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</si>
  <si>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</si>
  <si>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</si>
  <si>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</si>
  <si>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</si>
  <si>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</si>
  <si>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</si>
  <si>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</si>
  <si>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</si>
  <si>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</si>
  <si>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</si>
  <si>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</si>
  <si>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</si>
  <si>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</si>
  <si>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</si>
  <si>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</si>
  <si>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</si>
  <si>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</si>
  <si>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</si>
  <si>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</si>
  <si>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</si>
  <si>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</si>
  <si>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</si>
  <si>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</si>
  <si>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</si>
  <si>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</si>
  <si>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</si>
  <si>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</si>
  <si>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</si>
  <si>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</si>
  <si>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</si>
  <si>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</si>
  <si>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</si>
  <si>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</si>
  <si>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</si>
  <si>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</si>
  <si>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</si>
  <si>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</si>
  <si>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</si>
  <si>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</si>
  <si>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</si>
  <si>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</si>
  <si>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</si>
  <si>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</si>
  <si>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</si>
  <si>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</si>
  <si>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</si>
  <si>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</si>
  <si>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</si>
  <si>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</si>
  <si>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</si>
  <si>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</si>
  <si>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</si>
  <si>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</si>
  <si>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</si>
  <si>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</si>
  <si>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</si>
  <si>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</si>
  <si>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</si>
  <si>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</si>
  <si>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</si>
  <si>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</si>
  <si>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</si>
  <si>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</si>
  <si>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</si>
  <si>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</si>
  <si>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</si>
  <si>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</si>
  <si>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</si>
  <si>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</si>
  <si>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</si>
  <si>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</si>
  <si>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</si>
  <si>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</si>
  <si>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</si>
  <si>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</si>
  <si>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</si>
  <si>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</si>
  <si>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</si>
  <si>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</si>
  <si>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</si>
  <si>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</si>
  <si>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</si>
  <si>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</si>
  <si>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</si>
  <si>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</si>
  <si>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</si>
  <si>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</si>
  <si>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</si>
  <si>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</si>
  <si>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</si>
  <si>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</si>
  <si>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</si>
  <si>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</si>
  <si>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</si>
  <si>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</si>
  <si>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</si>
  <si>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</si>
  <si>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</si>
  <si>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</si>
  <si>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</si>
  <si>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</si>
  <si>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</si>
  <si>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</si>
  <si>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</si>
  <si>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</si>
  <si>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</si>
  <si>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</si>
  <si>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</si>
  <si>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</si>
  <si>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</si>
  <si>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</si>
  <si>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</si>
  <si>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</si>
  <si>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</si>
  <si>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</si>
  <si>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</si>
  <si>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</si>
  <si>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</si>
  <si>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</si>
  <si>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</si>
  <si>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</si>
  <si>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</si>
  <si>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</si>
  <si>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</si>
  <si>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</si>
  <si>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</si>
  <si>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</si>
  <si>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</si>
  <si>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</si>
  <si>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</si>
  <si>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</si>
  <si>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</si>
  <si>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</si>
  <si>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</si>
  <si>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</si>
  <si>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</si>
  <si>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</si>
  <si>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</si>
  <si>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</si>
  <si>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</si>
  <si>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</si>
  <si>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</si>
  <si>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</si>
  <si>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</si>
  <si>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</si>
  <si>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</si>
  <si>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</si>
  <si>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</si>
  <si>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</si>
  <si>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</si>
  <si>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</si>
  <si>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</si>
  <si>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</si>
  <si>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</si>
  <si>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</si>
  <si>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</si>
  <si>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</si>
  <si>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</si>
  <si>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</si>
  <si>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</si>
  <si>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</si>
  <si>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</si>
  <si>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</si>
  <si>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</si>
  <si>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</si>
  <si>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</si>
  <si>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</si>
  <si>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</si>
  <si>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</si>
  <si>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</si>
  <si>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</si>
  <si>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</si>
  <si>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</si>
  <si>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</si>
  <si>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</si>
  <si>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</si>
  <si>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</si>
  <si>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</si>
  <si>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</si>
  <si>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</si>
  <si>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</si>
  <si>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</si>
  <si>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</si>
  <si>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</si>
  <si>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</si>
  <si>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</si>
  <si>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</si>
  <si>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</si>
  <si>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</si>
  <si>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</si>
  <si>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</si>
  <si>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</si>
  <si>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</si>
  <si>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</si>
  <si>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</si>
  <si>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</si>
  <si>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</si>
  <si>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</si>
  <si>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</si>
  <si>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</si>
  <si>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</si>
  <si>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</si>
  <si>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</si>
  <si>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</si>
  <si>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</si>
  <si>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</si>
  <si>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</si>
  <si>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</si>
  <si>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</si>
  <si>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</si>
  <si>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</si>
  <si>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</si>
  <si>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</si>
  <si>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</si>
  <si>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</si>
  <si>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</si>
  <si>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</si>
  <si>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</si>
  <si>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</si>
  <si>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</si>
  <si>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</si>
  <si>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</si>
  <si>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</si>
  <si>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</si>
  <si>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</si>
  <si>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</si>
  <si>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</si>
  <si>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</si>
  <si>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</si>
  <si>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</si>
  <si>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</si>
  <si>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</si>
  <si>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</si>
  <si>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</si>
  <si>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</si>
  <si>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</si>
  <si>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</si>
  <si>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</si>
  <si>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</si>
  <si>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</si>
  <si>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</si>
  <si>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</si>
  <si>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</si>
  <si>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</si>
  <si>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</si>
  <si>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</si>
  <si>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</si>
  <si>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</si>
  <si>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</si>
  <si>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</si>
  <si>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</si>
  <si>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</si>
  <si>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</si>
  <si>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</si>
  <si>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</si>
  <si>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</si>
  <si>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</si>
  <si>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</si>
  <si>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</si>
  <si>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</si>
  <si>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</si>
  <si>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</si>
  <si>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</si>
  <si>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</si>
  <si>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</si>
  <si>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</si>
  <si>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</si>
  <si>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</si>
  <si>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</si>
  <si>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</si>
  <si>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</si>
  <si>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</si>
  <si>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</si>
  <si>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</si>
  <si>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</si>
  <si>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</si>
  <si>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</si>
  <si>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</si>
  <si>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</si>
  <si>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</si>
  <si>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</si>
  <si>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</si>
  <si>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</si>
  <si>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</si>
  <si>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</si>
  <si>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</si>
  <si>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</si>
  <si>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</si>
  <si>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</si>
  <si>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</si>
  <si>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</si>
  <si>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</si>
  <si>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</si>
  <si>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</si>
  <si>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</si>
  <si>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</si>
  <si>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</si>
  <si>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</si>
  <si>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</si>
  <si>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</si>
  <si>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</si>
  <si>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</si>
  <si>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</si>
  <si>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</si>
  <si>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</si>
  <si>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</si>
  <si>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</si>
  <si>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</si>
  <si>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</si>
  <si>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</si>
  <si>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</si>
  <si>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</si>
  <si>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</si>
  <si>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</si>
  <si>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</si>
  <si>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</si>
  <si>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</si>
  <si>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</si>
  <si>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</si>
  <si>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</si>
  <si>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</si>
  <si>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</si>
  <si>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</si>
  <si>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</si>
  <si>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</si>
  <si>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</si>
  <si>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</si>
  <si>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</si>
  <si>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</si>
  <si>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</si>
  <si>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</si>
  <si>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</si>
  <si>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</si>
  <si>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</si>
  <si>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</si>
  <si>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</si>
  <si>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</si>
  <si>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</si>
  <si>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</si>
  <si>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</si>
  <si>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</si>
  <si>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</si>
  <si>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</si>
  <si>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</si>
  <si>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</si>
  <si>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</si>
  <si>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</si>
  <si>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</si>
  <si>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</si>
  <si>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</si>
  <si>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</si>
  <si>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</si>
  <si>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</si>
  <si>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</si>
  <si>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</si>
  <si>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</si>
  <si>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</si>
  <si>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</si>
  <si>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</si>
  <si>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</si>
  <si>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</si>
  <si>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</si>
  <si>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</si>
  <si>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</si>
  <si>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</si>
  <si>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</si>
  <si>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</si>
  <si>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</si>
  <si>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</si>
  <si>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</si>
  <si>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</si>
  <si>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</si>
  <si>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</si>
  <si>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</si>
  <si>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</si>
  <si>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</si>
  <si>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</si>
  <si>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</si>
  <si>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</si>
  <si>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</si>
  <si>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</si>
  <si>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</si>
  <si>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</si>
  <si>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</si>
  <si>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</si>
  <si>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</si>
  <si>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</si>
  <si>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</si>
  <si>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</si>
  <si>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</si>
  <si>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</si>
  <si>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</si>
  <si>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</si>
  <si>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</si>
  <si>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</si>
  <si>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</si>
  <si>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</si>
  <si>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</si>
  <si>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</si>
  <si>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</si>
  <si>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</si>
  <si>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</si>
  <si>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</si>
  <si>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</si>
  <si>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</si>
  <si>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</si>
  <si>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</si>
  <si>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</si>
  <si>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</si>
  <si>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</si>
  <si>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</si>
  <si>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</si>
  <si>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</si>
  <si>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</si>
  <si>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</si>
  <si>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</si>
  <si>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</si>
  <si>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</si>
  <si>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</si>
  <si>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</si>
  <si>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</si>
  <si>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</si>
  <si>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</si>
  <si>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</si>
  <si>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</si>
  <si>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</si>
  <si>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</si>
  <si>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</si>
  <si>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</si>
  <si>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</si>
  <si>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</si>
  <si>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</si>
  <si>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</si>
  <si>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</si>
  <si>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</si>
  <si>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</si>
  <si>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</si>
  <si>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</si>
  <si>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</si>
  <si>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</si>
  <si>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</si>
  <si>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</si>
  <si>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</si>
  <si>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</si>
  <si>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</si>
  <si>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</si>
  <si>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</si>
  <si>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</si>
  <si>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</si>
  <si>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</si>
  <si>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</si>
  <si>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</si>
  <si>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</si>
  <si>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</si>
  <si>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</si>
  <si>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</si>
  <si>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</si>
  <si>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</si>
  <si>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</si>
  <si>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</si>
  <si>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</si>
  <si>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</si>
  <si>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</si>
  <si>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</si>
  <si>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</si>
  <si>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</si>
  <si>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</si>
  <si>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</si>
  <si>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</si>
  <si>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</si>
  <si>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</si>
  <si>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</si>
  <si>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</si>
  <si>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</si>
  <si>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</si>
  <si>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</si>
  <si>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</si>
  <si>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</si>
  <si>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</si>
  <si>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</si>
  <si>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</si>
  <si>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</si>
  <si>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</si>
  <si>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</si>
  <si>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</si>
  <si>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</si>
  <si>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</si>
  <si>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</si>
  <si>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</si>
  <si>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</si>
  <si>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</si>
  <si>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</si>
  <si>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</si>
  <si>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</si>
  <si>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</si>
  <si>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</si>
  <si>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</si>
  <si>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</si>
  <si>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</si>
  <si>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</si>
  <si>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</si>
  <si>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</si>
  <si>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</si>
  <si>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</si>
  <si>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</si>
  <si>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</si>
  <si>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</si>
  <si>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</si>
  <si>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</si>
  <si>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</si>
  <si>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</si>
  <si>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</si>
  <si>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</si>
  <si>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</si>
  <si>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</si>
  <si>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</si>
  <si>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</si>
  <si>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</si>
  <si>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</si>
  <si>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</si>
  <si>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</si>
  <si>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</si>
  <si>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</si>
  <si>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</si>
  <si>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</si>
  <si>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</si>
  <si>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</si>
  <si>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</si>
  <si>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</si>
  <si>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</si>
  <si>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</si>
  <si>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</si>
  <si>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</si>
  <si>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</si>
  <si>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</si>
  <si>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</si>
  <si>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</si>
  <si>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</si>
  <si>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</si>
  <si>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</si>
  <si>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</si>
  <si>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</si>
  <si>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</si>
  <si>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</si>
  <si>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</si>
  <si>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</si>
  <si>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</si>
  <si>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</si>
  <si>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</si>
  <si>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</si>
  <si>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</si>
  <si>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</si>
  <si>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</si>
  <si>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</si>
  <si>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</si>
  <si>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</si>
  <si>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</si>
  <si>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</si>
  <si>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</si>
  <si>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</si>
  <si>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</si>
  <si>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</si>
  <si>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</si>
  <si>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</si>
  <si>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</si>
  <si>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</si>
  <si>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</si>
  <si>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</si>
  <si>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</si>
  <si>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</si>
  <si>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</si>
  <si>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</si>
  <si>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</si>
  <si>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</si>
  <si>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</si>
  <si>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</si>
  <si>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</si>
  <si>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</si>
  <si>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</si>
  <si>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</si>
  <si>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</si>
  <si>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</si>
  <si>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</si>
  <si>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</si>
  <si>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</si>
  <si>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</si>
  <si>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</si>
  <si>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</si>
  <si>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</si>
  <si>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</si>
  <si>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</si>
  <si>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</si>
  <si>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</si>
  <si>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</si>
  <si>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</si>
  <si>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</si>
  <si>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</si>
  <si>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</si>
  <si>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</si>
  <si>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</si>
  <si>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</si>
  <si>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</si>
  <si>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</si>
  <si>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</si>
  <si>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</si>
  <si>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</si>
  <si>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</si>
  <si>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</si>
  <si>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</si>
  <si>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</si>
  <si>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</si>
  <si>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</si>
  <si>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</si>
  <si>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</si>
  <si>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</si>
  <si>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</si>
  <si>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</si>
  <si>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</si>
  <si>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</si>
  <si>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</si>
  <si>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</si>
  <si>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</si>
  <si>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</si>
  <si>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</si>
  <si>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</si>
  <si>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</si>
  <si>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</si>
  <si>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</si>
  <si>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</si>
  <si>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</si>
  <si>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</si>
  <si>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</si>
  <si>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</si>
  <si>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</si>
  <si>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</si>
  <si>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</si>
  <si>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</si>
  <si>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</si>
  <si>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</si>
  <si>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</si>
  <si>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</si>
  <si>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</si>
  <si>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</si>
  <si>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</si>
  <si>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</si>
  <si>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</si>
  <si>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</si>
  <si>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</si>
  <si>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</si>
  <si>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</si>
  <si>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</si>
  <si>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</si>
  <si>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</si>
  <si>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</si>
  <si>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</si>
  <si>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</si>
  <si>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</si>
  <si>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</si>
  <si>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</si>
  <si>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</si>
  <si>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</si>
  <si>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</si>
  <si>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</si>
  <si>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</si>
  <si>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</si>
  <si>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</si>
  <si>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</si>
  <si>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</si>
  <si>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</si>
  <si>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</si>
  <si>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</si>
  <si>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</si>
  <si>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</si>
  <si>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</si>
  <si>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</si>
  <si>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</si>
  <si>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</si>
  <si>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</si>
  <si>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</si>
  <si>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</si>
  <si>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</si>
  <si>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</si>
  <si>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</si>
  <si>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</si>
  <si>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</si>
  <si>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</si>
  <si>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</si>
  <si>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</si>
  <si>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</si>
  <si>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</si>
  <si>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</si>
  <si>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</si>
  <si>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</si>
  <si>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</si>
  <si>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</si>
  <si>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</si>
  <si>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</si>
  <si>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</si>
  <si>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</si>
  <si>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</si>
  <si>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</si>
  <si>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</si>
  <si>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</si>
  <si>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</si>
  <si>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</si>
  <si>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</si>
  <si>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</si>
  <si>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</si>
  <si>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</si>
  <si>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</si>
  <si>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</si>
  <si>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</si>
  <si>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</si>
  <si>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</si>
  <si>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</si>
  <si>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</si>
  <si>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</si>
  <si>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</si>
  <si>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</si>
  <si>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</si>
  <si>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</si>
  <si>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</si>
  <si>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</si>
  <si>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</si>
  <si>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</si>
  <si>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</si>
  <si>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</si>
  <si>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</si>
  <si>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</si>
  <si>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</si>
  <si>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</si>
  <si>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</si>
  <si>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</si>
  <si>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</si>
  <si>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</si>
  <si>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</si>
  <si>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</si>
  <si>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</si>
  <si>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</si>
  <si>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</si>
  <si>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</si>
  <si>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</si>
  <si>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</si>
  <si>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</si>
  <si>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</si>
  <si>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</si>
  <si>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</si>
  <si>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</si>
  <si>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</si>
  <si>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</si>
  <si>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</si>
  <si>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</si>
  <si>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</si>
  <si>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</si>
  <si>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</si>
  <si>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</si>
  <si>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</si>
  <si>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</si>
  <si>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</si>
  <si>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</si>
  <si>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</si>
  <si>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</si>
  <si>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</si>
  <si>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</si>
  <si>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</si>
  <si>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</si>
  <si>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</si>
  <si>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</si>
  <si>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</si>
  <si>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</si>
  <si>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</si>
  <si>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</si>
  <si>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</si>
  <si>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</si>
  <si>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</si>
  <si>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</si>
  <si>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</si>
  <si>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</si>
  <si>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</si>
  <si>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</si>
  <si>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</si>
  <si>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</si>
  <si>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</si>
  <si>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</si>
  <si>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</si>
  <si>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</si>
  <si>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</si>
  <si>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</si>
  <si>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</si>
  <si>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</si>
  <si>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</si>
  <si>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</si>
  <si>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</si>
  <si>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</si>
  <si>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</si>
  <si>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</si>
  <si>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</si>
  <si>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</si>
  <si>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</si>
  <si>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</si>
  <si>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</si>
  <si>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</si>
  <si>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</si>
  <si>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</si>
  <si>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</si>
  <si>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</si>
  <si>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</si>
  <si>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</si>
  <si>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</si>
  <si>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</si>
  <si>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</si>
  <si>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</si>
  <si>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</si>
  <si>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</si>
  <si>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</si>
  <si>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</si>
  <si>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</si>
  <si>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</si>
  <si>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</si>
  <si>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</si>
  <si>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</si>
  <si>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</si>
  <si>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</si>
  <si>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</si>
  <si>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</si>
  <si>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</si>
  <si>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</si>
  <si>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</si>
  <si>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</si>
  <si>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</si>
  <si>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</si>
  <si>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</si>
  <si>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</si>
  <si>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</si>
  <si>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</si>
  <si>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</si>
  <si>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</si>
  <si>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</si>
  <si>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</si>
  <si>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</si>
  <si>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</si>
  <si>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</si>
  <si>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</si>
  <si>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</si>
  <si>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</si>
  <si>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</si>
  <si>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</si>
  <si>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</si>
  <si>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</si>
  <si>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</si>
  <si>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</si>
  <si>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</si>
  <si>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</si>
  <si>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</si>
  <si>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</si>
  <si>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</si>
  <si>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</si>
  <si>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</si>
  <si>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</si>
  <si>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</si>
  <si>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</si>
  <si>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</si>
  <si>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</si>
  <si>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</si>
  <si>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</si>
  <si>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</si>
  <si>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</si>
  <si>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</si>
  <si>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</si>
  <si>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</si>
  <si>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</si>
  <si>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</si>
  <si>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</si>
  <si>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</si>
  <si>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</si>
  <si>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</si>
  <si>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</si>
  <si>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</si>
  <si>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</si>
  <si>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</si>
  <si>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</si>
  <si>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</si>
  <si>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</si>
  <si>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</si>
  <si>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</si>
  <si>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</si>
  <si>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</si>
  <si>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</si>
  <si>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</si>
  <si>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</si>
  <si>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</si>
  <si>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</si>
  <si>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</si>
  <si>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</si>
  <si>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</si>
  <si>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</si>
  <si>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</si>
  <si>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</si>
  <si>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</si>
  <si>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</si>
  <si>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</si>
  <si>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</si>
  <si>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</si>
  <si>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</si>
  <si>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</si>
  <si>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</si>
  <si>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</si>
  <si>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</si>
  <si>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</si>
  <si>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</si>
  <si>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</si>
  <si>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</si>
  <si>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</si>
  <si>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</si>
  <si>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</si>
  <si>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</si>
  <si>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</si>
  <si>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</si>
  <si>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</si>
  <si>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</si>
  <si>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</si>
  <si>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</si>
  <si>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</si>
  <si>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</si>
  <si>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</si>
  <si>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</si>
  <si>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</si>
  <si>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</si>
  <si>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</si>
  <si>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</si>
  <si>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</si>
  <si>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</si>
  <si>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</si>
  <si>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</si>
  <si>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</si>
  <si>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</si>
  <si>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</si>
  <si>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</si>
  <si>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</si>
  <si>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</si>
  <si>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</si>
  <si>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</si>
  <si>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</si>
  <si>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</si>
  <si>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</si>
  <si>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</si>
  <si>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</si>
  <si>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</si>
  <si>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</si>
  <si>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</si>
  <si>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</si>
  <si>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</si>
  <si>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</si>
  <si>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</si>
  <si>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</si>
  <si>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</si>
  <si>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</si>
  <si>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</si>
  <si>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</si>
  <si>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</si>
  <si>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</si>
  <si>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</si>
  <si>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</si>
  <si>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</si>
  <si>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</si>
  <si>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</si>
  <si>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</si>
  <si>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</si>
  <si>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</si>
  <si>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</si>
  <si>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</si>
  <si>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</si>
  <si>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</si>
  <si>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</si>
  <si>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</si>
  <si>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</si>
  <si>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</si>
  <si>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</si>
  <si>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</si>
  <si>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</si>
  <si>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</si>
  <si>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</si>
  <si>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</si>
  <si>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</si>
  <si>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</si>
  <si>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</si>
  <si>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</si>
  <si>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</si>
  <si>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</si>
  <si>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</si>
  <si>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</si>
  <si>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</si>
  <si>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</si>
  <si>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</si>
  <si>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</si>
  <si>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</si>
  <si>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</si>
  <si>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</si>
  <si>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</si>
  <si>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</si>
  <si>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</si>
  <si>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</si>
  <si>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</si>
  <si>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</si>
  <si>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</si>
  <si>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</si>
  <si>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</si>
  <si>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</si>
  <si>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</si>
  <si>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</si>
  <si>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</si>
  <si>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</si>
  <si>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</si>
  <si>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</si>
  <si>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</si>
  <si>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</si>
  <si>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</si>
  <si>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</si>
  <si>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</si>
  <si>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</si>
  <si>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</si>
  <si>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</si>
  <si>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</si>
  <si>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</si>
  <si>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</si>
  <si>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</si>
  <si>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</si>
  <si>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</si>
  <si>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</si>
  <si>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</si>
  <si>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</si>
  <si>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</si>
  <si>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</si>
  <si>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</si>
  <si>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</si>
  <si>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</si>
  <si>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</si>
  <si>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</si>
  <si>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</si>
  <si>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</si>
  <si>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</si>
  <si>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</si>
  <si>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</si>
  <si>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</si>
  <si>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</si>
  <si>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</si>
  <si>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</si>
  <si>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</si>
  <si>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</si>
  <si>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</si>
  <si>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</si>
  <si>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</si>
  <si>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</si>
  <si>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</si>
  <si>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</si>
  <si>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</si>
  <si>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</si>
  <si>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</si>
  <si>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</si>
  <si>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</si>
  <si>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</si>
  <si>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</si>
  <si>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</si>
  <si>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</si>
  <si>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</si>
  <si>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</si>
  <si>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</si>
  <si>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</si>
  <si>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</si>
  <si>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</si>
  <si>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</si>
  <si>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</si>
  <si>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</si>
  <si>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</si>
  <si>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</si>
  <si>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</si>
  <si>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</si>
  <si>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</si>
  <si>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</si>
  <si>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</si>
  <si>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</si>
  <si>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</si>
  <si>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</si>
  <si>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</si>
  <si>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</si>
  <si>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</si>
  <si>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</si>
  <si>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</si>
  <si>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</si>
  <si>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</si>
  <si>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</si>
  <si>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</si>
  <si>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</si>
  <si>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</si>
  <si>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</si>
  <si>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</si>
  <si>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</si>
  <si>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</si>
  <si>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</si>
  <si>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</si>
  <si>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</si>
  <si>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</si>
  <si>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</si>
  <si>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</si>
  <si>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</si>
  <si>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</si>
  <si>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</si>
  <si>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</si>
  <si>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</si>
  <si>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</si>
  <si>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</si>
  <si>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</si>
  <si>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</si>
  <si>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</si>
  <si>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</si>
  <si>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</si>
  <si>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</si>
  <si>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</si>
  <si>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</si>
  <si>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</si>
  <si>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</si>
  <si>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</si>
  <si>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</si>
  <si>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</si>
  <si>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</si>
  <si>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</si>
  <si>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</si>
  <si>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</si>
  <si>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</si>
  <si>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</si>
  <si>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</si>
  <si>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</si>
  <si>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</si>
  <si>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</si>
  <si>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</si>
  <si>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</si>
  <si>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</si>
  <si>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</si>
  <si>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</si>
  <si>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</si>
  <si>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</si>
  <si>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</si>
  <si>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</si>
  <si>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</si>
  <si>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</si>
  <si>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</si>
  <si>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</si>
  <si>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</si>
  <si>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</si>
  <si>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</si>
  <si>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</si>
  <si>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</si>
  <si>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</si>
  <si>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</si>
  <si>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</si>
  <si>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</si>
  <si>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</si>
  <si>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</si>
  <si>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</si>
  <si>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</si>
  <si>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</si>
  <si>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</si>
  <si>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</si>
  <si>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</si>
  <si>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</si>
  <si>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</si>
  <si>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</si>
  <si>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</si>
  <si>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</si>
  <si>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</si>
  <si>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</si>
  <si>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</si>
  <si>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</si>
  <si>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</si>
  <si>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</si>
  <si>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</si>
  <si>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</si>
  <si>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</si>
  <si>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</si>
  <si>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</si>
  <si>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</si>
  <si>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</si>
  <si>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</si>
  <si>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</si>
  <si>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</si>
  <si>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</si>
  <si>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</si>
  <si>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</si>
  <si>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</si>
  <si>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</si>
  <si>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</si>
  <si>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</si>
  <si>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</si>
  <si>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</si>
  <si>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</si>
  <si>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</si>
  <si>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</si>
  <si>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</si>
  <si>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</si>
  <si>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</si>
  <si>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</si>
  <si>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</si>
  <si>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</si>
  <si>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</si>
  <si>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</si>
  <si>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</si>
  <si>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</si>
  <si>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</si>
  <si>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</si>
  <si>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</si>
  <si>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</si>
  <si>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</si>
  <si>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</si>
  <si>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</si>
  <si>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</si>
  <si>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</si>
  <si>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</si>
  <si>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</si>
  <si>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</si>
  <si>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</si>
  <si>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</si>
  <si>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</si>
  <si>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</si>
  <si>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</si>
  <si>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</si>
  <si>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</si>
  <si>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</si>
  <si>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</si>
  <si>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</si>
  <si>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</si>
  <si>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</si>
  <si>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</si>
  <si>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</si>
  <si>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</si>
  <si>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</si>
  <si>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</si>
  <si>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</si>
  <si>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</si>
  <si>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</si>
  <si>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</si>
  <si>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</si>
  <si>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</si>
  <si>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</si>
  <si>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</si>
  <si>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</si>
  <si>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</si>
  <si>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</si>
  <si>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</si>
  <si>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</si>
  <si>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</si>
  <si>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</si>
  <si>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</si>
  <si>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</si>
  <si>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</si>
  <si>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</si>
  <si>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</si>
  <si>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</si>
  <si>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</si>
  <si>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</si>
  <si>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</si>
  <si>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</si>
  <si>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</si>
  <si>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</si>
  <si>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</si>
  <si>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</si>
  <si>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</si>
  <si>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</si>
  <si>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</si>
  <si>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</si>
  <si>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</si>
  <si>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</si>
  <si>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</si>
  <si>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</si>
  <si>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</si>
  <si>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</si>
  <si>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</si>
  <si>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</si>
  <si>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</si>
  <si>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</si>
  <si>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</si>
  <si>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</si>
  <si>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</si>
  <si>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</si>
  <si>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</si>
  <si>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</si>
  <si>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</si>
  <si>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</si>
  <si>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</si>
  <si>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</si>
  <si>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</si>
  <si>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</si>
  <si>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</si>
  <si>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</si>
  <si>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</si>
  <si>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</si>
  <si>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</si>
  <si>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</si>
  <si>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</si>
  <si>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</si>
  <si>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</si>
  <si>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</si>
  <si>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</si>
  <si>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</si>
  <si>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</si>
  <si>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</si>
  <si>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</si>
  <si>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</si>
  <si>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</si>
  <si>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</si>
  <si>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</si>
  <si>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</si>
  <si>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</si>
  <si>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</si>
  <si>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</si>
  <si>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</si>
  <si>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</si>
  <si>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</si>
  <si>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</si>
  <si>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</si>
  <si>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</si>
  <si>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</si>
  <si>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</si>
  <si>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</si>
  <si>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</si>
  <si>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</si>
  <si>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</si>
  <si>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</si>
  <si>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</si>
  <si>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</si>
  <si>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</si>
  <si>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</si>
  <si>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</si>
  <si>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</si>
  <si>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</si>
  <si>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</si>
  <si>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</si>
  <si>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</si>
  <si>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</si>
  <si>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</si>
  <si>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</si>
  <si>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</si>
  <si>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</si>
  <si>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</si>
  <si>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</si>
  <si>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</si>
  <si>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</si>
  <si>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</si>
  <si>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</si>
  <si>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</si>
  <si>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</si>
  <si>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</si>
  <si>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</si>
  <si>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</si>
  <si>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</si>
  <si>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</si>
  <si>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</si>
  <si>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</si>
  <si>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</si>
  <si>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</si>
  <si>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</si>
  <si>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</si>
  <si>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</si>
  <si>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</si>
  <si>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</si>
  <si>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</si>
  <si>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</si>
  <si>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</si>
  <si>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</si>
  <si>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</si>
  <si>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</si>
  <si>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</si>
  <si>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</si>
  <si>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</si>
  <si>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</si>
  <si>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</si>
  <si>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</si>
  <si>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</si>
  <si>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</si>
  <si>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</si>
  <si>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</si>
  <si>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</si>
  <si>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</si>
  <si>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</si>
  <si>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</si>
  <si>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</si>
  <si>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</si>
  <si>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</si>
  <si>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</si>
  <si>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</si>
  <si>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</si>
  <si>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</si>
  <si>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</si>
  <si>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</si>
  <si>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</si>
  <si>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</si>
  <si>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</si>
  <si>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</si>
  <si>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</si>
  <si>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</si>
  <si>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</si>
  <si>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</si>
  <si>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</si>
  <si>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</si>
  <si>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</si>
  <si>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</si>
  <si>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</si>
  <si>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</si>
  <si>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</si>
  <si>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</si>
  <si>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</si>
  <si>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</si>
  <si>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</si>
  <si>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</si>
  <si>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</si>
  <si>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</si>
  <si>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</si>
  <si>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</si>
  <si>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</si>
  <si>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</si>
  <si>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</si>
  <si>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</si>
  <si>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</si>
  <si>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</si>
  <si>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</si>
  <si>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</si>
  <si>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</si>
  <si>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</si>
  <si>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</si>
  <si>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</si>
  <si>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</si>
  <si>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</si>
  <si>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</si>
  <si>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</si>
  <si>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</si>
  <si>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</si>
  <si>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</si>
  <si>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</si>
  <si>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</si>
  <si>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</si>
  <si>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</si>
  <si>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</si>
  <si>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</si>
  <si>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</si>
  <si>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</si>
  <si>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</si>
  <si>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</si>
  <si>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</si>
  <si>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</si>
  <si>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</si>
  <si>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</si>
  <si>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</si>
  <si>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</si>
  <si>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</si>
  <si>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</si>
  <si>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</si>
  <si>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</si>
  <si>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</si>
  <si>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</si>
  <si>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</si>
  <si>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</si>
  <si>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</si>
  <si>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</si>
  <si>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</si>
  <si>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</si>
  <si>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</si>
  <si>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</si>
  <si>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</si>
  <si>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</si>
  <si>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</si>
  <si>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</si>
  <si>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</si>
  <si>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</si>
  <si>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</si>
  <si>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</si>
  <si>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</si>
  <si>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</si>
  <si>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</si>
  <si>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</si>
  <si>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</si>
  <si>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</si>
  <si>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</si>
  <si>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</si>
  <si>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</si>
  <si>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</si>
  <si>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</si>
  <si>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</si>
  <si>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</si>
  <si>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</si>
  <si>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</si>
  <si>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</si>
  <si>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</si>
  <si>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</si>
  <si>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</si>
  <si>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</si>
  <si>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</si>
  <si>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</si>
  <si>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</si>
  <si>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</si>
  <si>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</si>
  <si>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</si>
  <si>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</si>
  <si>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</si>
  <si>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</si>
  <si>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</si>
  <si>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</si>
  <si>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</si>
  <si>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</si>
  <si>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</si>
  <si>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</si>
  <si>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</si>
  <si>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</si>
  <si>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</si>
  <si>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</si>
  <si>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</si>
  <si>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</si>
  <si>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</si>
  <si>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</si>
  <si>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</si>
  <si>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</si>
  <si>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</si>
  <si>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</si>
  <si>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</si>
  <si>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</si>
  <si>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</si>
  <si>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</si>
  <si>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</si>
  <si>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</si>
  <si>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</si>
  <si>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</si>
  <si>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</si>
  <si>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</si>
  <si>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</si>
  <si>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</si>
  <si>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</si>
  <si>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</si>
  <si>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</si>
  <si>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</si>
  <si>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</si>
  <si>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</si>
  <si>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</si>
  <si>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</si>
  <si>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</si>
  <si>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</si>
  <si>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</si>
  <si>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</si>
  <si>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</si>
  <si>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</si>
  <si>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</si>
  <si>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</si>
  <si>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</si>
  <si>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</si>
  <si>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</si>
  <si>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</si>
  <si>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</si>
  <si>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</si>
  <si>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</si>
  <si>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</si>
  <si>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</si>
  <si>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</si>
  <si>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</si>
  <si>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</si>
  <si>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</si>
  <si>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</si>
  <si>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</si>
  <si>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</si>
  <si>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</si>
  <si>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</si>
  <si>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</si>
  <si>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</si>
  <si>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</si>
  <si>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</si>
  <si>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</si>
  <si>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</si>
  <si>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</si>
  <si>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</si>
  <si>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</si>
  <si>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</si>
  <si>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</si>
  <si>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</si>
  <si>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</si>
  <si>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</si>
  <si>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</si>
  <si>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</si>
  <si>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</si>
  <si>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</si>
  <si>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</si>
  <si>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</si>
  <si>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</si>
  <si>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</si>
  <si>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</si>
  <si>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</si>
  <si>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</si>
  <si>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</si>
  <si>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</si>
  <si>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</si>
  <si>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</si>
  <si>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</si>
  <si>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</si>
  <si>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</si>
  <si>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</si>
  <si>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</si>
  <si>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</si>
  <si>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</si>
  <si>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</si>
  <si>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</si>
  <si>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</si>
  <si>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</si>
  <si>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</si>
  <si>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</si>
  <si>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</si>
  <si>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</si>
  <si>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</si>
  <si>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</si>
  <si>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</si>
  <si>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</si>
  <si>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</si>
  <si>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</si>
  <si>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</si>
  <si>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</si>
  <si>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</si>
  <si>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</si>
  <si>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</si>
  <si>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</si>
  <si>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</si>
  <si>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</si>
  <si>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</si>
  <si>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</si>
  <si>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</si>
  <si>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</si>
  <si>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</si>
  <si>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</si>
  <si>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</si>
  <si>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</si>
  <si>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</si>
  <si>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</si>
  <si>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</si>
  <si>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</si>
  <si>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</si>
  <si>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</si>
  <si>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</si>
  <si>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</si>
  <si>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</si>
  <si>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</si>
  <si>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</si>
  <si>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</si>
  <si>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</si>
  <si>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</si>
  <si>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</si>
  <si>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</si>
  <si>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</si>
  <si>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</si>
  <si>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</si>
  <si>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</si>
  <si>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</si>
  <si>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</si>
  <si>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</si>
  <si>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</si>
  <si>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</si>
  <si>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</si>
  <si>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</si>
  <si>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</si>
  <si>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</si>
  <si>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</si>
  <si>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</si>
  <si>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</si>
  <si>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</si>
  <si>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</si>
  <si>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</si>
  <si>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</si>
  <si>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</si>
  <si>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</si>
  <si>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</si>
  <si>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</si>
  <si>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</si>
  <si>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</si>
  <si>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</si>
  <si>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</si>
  <si>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</si>
  <si>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</si>
  <si>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</si>
  <si>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</si>
  <si>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</si>
  <si>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</si>
  <si>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</si>
  <si>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</si>
  <si>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</si>
  <si>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</si>
  <si>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</si>
  <si>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</si>
  <si>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</si>
  <si>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</si>
  <si>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</si>
  <si>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</si>
  <si>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</si>
  <si>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</si>
  <si>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</si>
  <si>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</si>
  <si>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</si>
  <si>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</si>
  <si>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</si>
  <si>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</si>
  <si>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</si>
  <si>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</si>
  <si>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</si>
  <si>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</si>
  <si>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</si>
  <si>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</si>
  <si>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</si>
  <si>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</si>
  <si>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</si>
  <si>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</si>
  <si>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</si>
  <si>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</si>
  <si>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</si>
  <si>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</si>
  <si>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</si>
  <si>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</si>
  <si>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</si>
  <si>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</si>
  <si>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</si>
  <si>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</si>
  <si>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</si>
  <si>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</si>
  <si>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</si>
  <si>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</si>
  <si>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</si>
  <si>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</si>
  <si>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</si>
  <si>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</si>
  <si>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</si>
  <si>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</si>
  <si>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</si>
  <si>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</si>
  <si>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</si>
  <si>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</si>
  <si>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</si>
  <si>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</si>
  <si>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</si>
  <si>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</si>
  <si>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</si>
  <si>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</si>
  <si>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</si>
  <si>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</si>
  <si>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</si>
  <si>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</si>
  <si>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</si>
  <si>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</si>
  <si>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</si>
  <si>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</si>
  <si>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</si>
  <si>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</si>
  <si>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</si>
  <si>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</si>
  <si>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</si>
  <si>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</si>
  <si>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</si>
  <si>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</si>
  <si>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</si>
  <si>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</si>
  <si>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</si>
  <si>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</si>
  <si>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</si>
  <si>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</si>
  <si>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</si>
  <si>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</si>
  <si>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</si>
  <si>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</si>
  <si>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</si>
  <si>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</si>
  <si>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</si>
  <si>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</si>
  <si>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</si>
  <si>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</si>
  <si>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</si>
  <si>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</si>
  <si>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</si>
  <si>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</si>
  <si>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</si>
  <si>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</si>
  <si>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</si>
  <si>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</si>
  <si>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</si>
  <si>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</si>
  <si>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</si>
  <si>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</si>
  <si>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</si>
  <si>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</si>
  <si>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</si>
  <si>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</si>
  <si>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</si>
  <si>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</si>
  <si>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</si>
  <si>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</si>
  <si>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</si>
  <si>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</si>
  <si>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</si>
  <si>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</si>
  <si>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</si>
  <si>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</si>
  <si>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</si>
  <si>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</si>
  <si>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</si>
  <si>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</si>
  <si>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</si>
  <si>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</si>
  <si>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</si>
  <si>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</si>
  <si>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</si>
  <si>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</si>
  <si>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</si>
  <si>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</si>
  <si>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</si>
  <si>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</si>
  <si>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</si>
  <si>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</si>
  <si>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</si>
  <si>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</si>
  <si>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</si>
  <si>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</si>
  <si>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</si>
  <si>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</si>
  <si>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</si>
  <si>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</si>
  <si>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</si>
  <si>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</si>
  <si>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</si>
  <si>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</si>
  <si>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</si>
  <si>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</si>
  <si>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</si>
  <si>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</si>
  <si>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</si>
  <si>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</si>
  <si>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</si>
  <si>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</si>
  <si>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</si>
  <si>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</si>
  <si>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</si>
  <si>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</si>
  <si>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</si>
  <si>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</si>
  <si>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</si>
  <si>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</si>
  <si>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</si>
  <si>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</si>
  <si>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</si>
  <si>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</si>
  <si>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</si>
  <si>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</si>
  <si>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</si>
  <si>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</si>
  <si>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</si>
  <si>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</si>
  <si>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</si>
  <si>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</si>
  <si>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</si>
  <si>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</si>
  <si>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</si>
  <si>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</si>
  <si>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</si>
  <si>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</si>
  <si>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</si>
  <si>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</si>
  <si>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</si>
  <si>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</si>
  <si>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</si>
  <si>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</si>
  <si>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</si>
  <si>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</si>
  <si>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</si>
  <si>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</si>
  <si>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</si>
  <si>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</si>
  <si>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</si>
  <si>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</si>
  <si>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</si>
  <si>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</si>
  <si>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</si>
  <si>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</si>
  <si>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</si>
  <si>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</si>
  <si>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</si>
  <si>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</si>
  <si>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</si>
  <si>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</si>
  <si>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</si>
  <si>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</si>
  <si>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</si>
  <si>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</si>
  <si>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</si>
  <si>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</si>
  <si>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</si>
  <si>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</si>
  <si>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</si>
  <si>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</si>
  <si>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</si>
  <si>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</si>
  <si>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</si>
  <si>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</si>
  <si>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</si>
  <si>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</si>
  <si>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</si>
  <si>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</si>
  <si>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</si>
  <si>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</si>
  <si>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</si>
  <si>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</si>
  <si>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</si>
  <si>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</si>
  <si>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</si>
  <si>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</si>
  <si>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</si>
  <si>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</si>
  <si>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</si>
  <si>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</si>
  <si>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</si>
  <si>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</si>
  <si>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</si>
  <si>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</si>
  <si>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</si>
  <si>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</si>
  <si>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</si>
  <si>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</si>
  <si>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</si>
  <si>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</si>
  <si>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</si>
  <si>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</si>
  <si>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</si>
  <si>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</si>
  <si>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</si>
  <si>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</si>
  <si>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</si>
  <si>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</si>
  <si>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</si>
  <si>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</si>
  <si>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</si>
  <si>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</si>
  <si>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</si>
  <si>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</si>
  <si>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</si>
  <si>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</si>
  <si>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</si>
  <si>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</si>
  <si>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</si>
  <si>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</si>
  <si>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</si>
  <si>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</si>
  <si>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</si>
  <si>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</si>
  <si>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</si>
  <si>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</si>
  <si>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</si>
  <si>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</si>
  <si>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</si>
  <si>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</si>
  <si>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</si>
  <si>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</si>
  <si>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</si>
  <si>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</si>
  <si>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</si>
  <si>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</si>
  <si>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</si>
  <si>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</si>
  <si>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</si>
  <si>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</si>
  <si>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</si>
  <si>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</si>
  <si>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</si>
  <si>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</si>
  <si>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</si>
  <si>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</si>
  <si>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</si>
  <si>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</si>
  <si>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</si>
  <si>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</si>
  <si>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</si>
  <si>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</si>
  <si>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</si>
  <si>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</si>
  <si>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</si>
  <si>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</si>
  <si>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</si>
  <si>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</si>
  <si>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</si>
  <si>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</si>
  <si>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</si>
  <si>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</si>
  <si>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</si>
  <si>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</si>
  <si>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</si>
  <si>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</si>
  <si>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</si>
  <si>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</si>
  <si>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</si>
  <si>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</si>
  <si>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</si>
  <si>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</si>
  <si>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</si>
  <si>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</si>
  <si>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</si>
  <si>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</si>
  <si>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</si>
  <si>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</si>
  <si>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</si>
  <si>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</si>
  <si>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</si>
  <si>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</si>
  <si>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</si>
  <si>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</si>
  <si>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</si>
  <si>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</si>
  <si>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</si>
  <si>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</si>
  <si>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</si>
  <si>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</si>
  <si>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</si>
  <si>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</si>
  <si>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</si>
  <si>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</si>
  <si>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</si>
  <si>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</si>
  <si>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</si>
  <si>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</si>
  <si>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</si>
  <si>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</si>
  <si>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</si>
  <si>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</si>
  <si>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</si>
  <si>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</si>
  <si>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</si>
  <si>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</si>
  <si>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</si>
  <si>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</si>
  <si>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</si>
  <si>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</si>
  <si>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</si>
  <si>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</si>
  <si>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</si>
  <si>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</si>
  <si>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</si>
  <si>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</si>
  <si>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</si>
  <si>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</si>
  <si>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</si>
  <si>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</si>
  <si>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</si>
  <si>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</si>
  <si>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</si>
  <si>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</si>
  <si>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</si>
  <si>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</si>
  <si>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</si>
  <si>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</si>
  <si>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</si>
  <si>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</si>
  <si>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</si>
  <si>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</si>
  <si>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</si>
  <si>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</si>
  <si>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</si>
  <si>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</si>
  <si>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</si>
  <si>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</si>
  <si>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</si>
  <si>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</si>
  <si>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</si>
  <si>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</si>
  <si>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</si>
  <si>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</si>
  <si>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</si>
  <si>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</si>
  <si>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</si>
  <si>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</si>
  <si>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</si>
  <si>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</si>
  <si>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</si>
  <si>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</si>
  <si>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</si>
  <si>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</si>
  <si>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</si>
  <si>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</si>
  <si>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</si>
  <si>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</si>
  <si>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</si>
  <si>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</si>
  <si>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</si>
  <si>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</si>
  <si>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</si>
  <si>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</si>
  <si>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</si>
  <si>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</si>
  <si>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</si>
  <si>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</si>
  <si>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</si>
  <si>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</si>
  <si>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</si>
  <si>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</si>
  <si>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</si>
  <si>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</si>
  <si>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</si>
  <si>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</si>
  <si>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</si>
  <si>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</si>
  <si>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</si>
  <si>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</si>
  <si>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</si>
  <si>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</si>
  <si>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</si>
  <si>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</si>
  <si>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</si>
  <si>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</si>
  <si>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</si>
  <si>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</si>
  <si>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</si>
  <si>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</si>
  <si>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</si>
  <si>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</si>
  <si>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</si>
  <si>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</si>
  <si>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</si>
  <si>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</si>
  <si>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</si>
  <si>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</si>
  <si>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</si>
  <si>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</si>
  <si>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</si>
  <si>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</si>
  <si>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</si>
  <si>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</si>
  <si>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</si>
  <si>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</si>
  <si>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</si>
  <si>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</si>
  <si>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</si>
  <si>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</si>
  <si>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</si>
  <si>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</si>
  <si>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</si>
  <si>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</si>
  <si>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</si>
  <si>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</si>
  <si>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</si>
  <si>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</si>
  <si>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</si>
  <si>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</si>
  <si>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</si>
  <si>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</si>
  <si>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</si>
  <si>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</si>
  <si>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</si>
  <si>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</si>
  <si>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</si>
  <si>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</si>
  <si>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</si>
  <si>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</si>
  <si>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</si>
  <si>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</si>
  <si>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</si>
  <si>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</si>
  <si>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</si>
  <si>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</si>
  <si>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</si>
  <si>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</si>
  <si>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</si>
  <si>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</si>
  <si>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</si>
  <si>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</si>
  <si>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</si>
  <si>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</si>
  <si>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</si>
  <si>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</si>
  <si>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</si>
  <si>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</si>
  <si>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</si>
  <si>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</si>
  <si>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</si>
  <si>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</si>
  <si>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</si>
  <si>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</si>
  <si>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</si>
  <si>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</si>
  <si>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</si>
  <si>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</si>
  <si>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</si>
  <si>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</si>
  <si>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</si>
  <si>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</si>
  <si>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</si>
  <si>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</si>
  <si>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</si>
  <si>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</si>
  <si>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</si>
  <si>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</si>
  <si>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</si>
  <si>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</si>
  <si>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</si>
  <si>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</si>
  <si>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</si>
  <si>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</si>
  <si>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</si>
  <si>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</si>
  <si>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</si>
  <si>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</si>
  <si>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</si>
  <si>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</si>
  <si>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</si>
  <si>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</si>
  <si>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</si>
  <si>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</si>
  <si>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</si>
  <si>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</si>
  <si>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</si>
  <si>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</si>
  <si>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</si>
  <si>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</si>
  <si>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</si>
  <si>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</si>
  <si>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</si>
  <si>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</si>
  <si>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</si>
  <si>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</si>
  <si>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</si>
  <si>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</si>
  <si>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</si>
  <si>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</si>
  <si>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</si>
  <si>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</si>
  <si>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</si>
  <si>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</si>
  <si>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</si>
  <si>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</si>
  <si>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</si>
  <si>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</si>
  <si>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</si>
  <si>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</si>
  <si>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</si>
  <si>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</si>
  <si>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</si>
  <si>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</si>
  <si>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</si>
  <si>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</si>
  <si>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</si>
  <si>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</si>
  <si>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</si>
  <si>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</si>
  <si>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</si>
  <si>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</si>
  <si>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</si>
  <si>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</si>
  <si>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</si>
  <si>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</si>
  <si>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</si>
  <si>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</si>
  <si>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</si>
  <si>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</si>
  <si>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</si>
  <si>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</si>
  <si>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</si>
  <si>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</si>
  <si>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</si>
  <si>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</si>
  <si>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</si>
  <si>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</si>
  <si>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</si>
  <si>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</si>
  <si>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</si>
  <si>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</si>
  <si>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</si>
  <si>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</si>
  <si>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</si>
  <si>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</si>
  <si>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</si>
  <si>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</si>
  <si>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</si>
  <si>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</si>
  <si>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</si>
  <si>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</si>
  <si>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</si>
  <si>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</si>
  <si>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</si>
  <si>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</si>
  <si>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</si>
  <si>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</si>
  <si>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</si>
  <si>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</si>
  <si>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</si>
  <si>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</si>
  <si>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</si>
  <si>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</si>
  <si>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</si>
  <si>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</si>
  <si>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</si>
  <si>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</si>
  <si>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</si>
  <si>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</si>
  <si>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</si>
  <si>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</si>
  <si>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</si>
  <si>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</si>
  <si>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</si>
  <si>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</si>
  <si>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</si>
  <si>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</si>
  <si>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</si>
  <si>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</si>
  <si>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</si>
  <si>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</si>
  <si>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</si>
  <si>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</si>
  <si>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</si>
  <si>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</si>
  <si>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</si>
  <si>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</si>
  <si>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</si>
  <si>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</si>
  <si>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</si>
  <si>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</si>
  <si>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</si>
  <si>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</si>
  <si>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</si>
  <si>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</si>
  <si>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</si>
  <si>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</si>
  <si>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</si>
  <si>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</si>
  <si>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</si>
  <si>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</si>
  <si>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</si>
  <si>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</si>
  <si>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</si>
  <si>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</si>
  <si>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</si>
  <si>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</si>
  <si>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</si>
  <si>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</si>
  <si>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</si>
  <si>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</si>
  <si>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</si>
  <si>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</si>
  <si>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</si>
  <si>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</si>
  <si>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</si>
  <si>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</si>
  <si>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</si>
  <si>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</si>
  <si>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</si>
  <si>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</si>
  <si>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</si>
  <si>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</si>
  <si>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</si>
  <si>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</si>
  <si>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</si>
  <si>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</si>
  <si>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</si>
  <si>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</si>
  <si>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</si>
  <si>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</si>
  <si>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</si>
  <si>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</si>
  <si>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</si>
  <si>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</si>
  <si>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</si>
  <si>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</si>
  <si>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</si>
  <si>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</si>
  <si>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</si>
  <si>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</si>
  <si>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</si>
  <si>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</si>
  <si>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</si>
  <si>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</si>
  <si>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</si>
  <si>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</si>
  <si>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</si>
  <si>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</si>
  <si>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</si>
  <si>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</si>
  <si>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</si>
  <si>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</si>
  <si>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</si>
  <si>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</si>
  <si>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</si>
  <si>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</si>
  <si>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</si>
  <si>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</si>
  <si>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</si>
  <si>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</si>
  <si>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</si>
  <si>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</si>
  <si>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</si>
  <si>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</si>
  <si>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</si>
  <si>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</si>
  <si>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</si>
  <si>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</si>
  <si>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</si>
  <si>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</si>
  <si>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</si>
  <si>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</si>
  <si>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</si>
  <si>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</si>
  <si>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</si>
  <si>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</si>
  <si>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</si>
  <si>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</si>
  <si>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</si>
  <si>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</si>
  <si>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</si>
  <si>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</si>
  <si>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</si>
  <si>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</si>
  <si>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</si>
  <si>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</si>
  <si>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</si>
  <si>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</si>
  <si>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</si>
  <si>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</si>
  <si>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</si>
  <si>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</si>
  <si>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</si>
  <si>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</si>
  <si>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</si>
  <si>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</si>
  <si>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</si>
  <si>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</si>
  <si>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</si>
  <si>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</si>
  <si>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</si>
  <si>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</si>
  <si>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</si>
  <si>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</si>
  <si>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</si>
  <si>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</si>
  <si>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</si>
  <si>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</si>
  <si>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</si>
  <si>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</si>
  <si>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</si>
  <si>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</si>
  <si>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</si>
  <si>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</si>
  <si>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</si>
  <si>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</si>
  <si>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</si>
  <si>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</si>
  <si>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</si>
  <si>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</si>
  <si>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</si>
  <si>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</si>
  <si>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</si>
  <si>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</si>
  <si>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</si>
  <si>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</si>
  <si>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</si>
  <si>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</si>
  <si>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</si>
  <si>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</si>
  <si>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</si>
  <si>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</si>
  <si>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</si>
  <si>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</si>
  <si>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</si>
  <si>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</si>
  <si>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</si>
  <si>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</si>
  <si>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</si>
  <si>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</si>
  <si>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</si>
  <si>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</si>
  <si>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</si>
  <si>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</si>
  <si>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</si>
  <si>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</si>
  <si>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</si>
  <si>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</si>
  <si>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</si>
  <si>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</si>
  <si>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</si>
  <si>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</si>
  <si>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</si>
  <si>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</si>
  <si>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</si>
  <si>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</si>
  <si>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</si>
  <si>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</si>
  <si>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</si>
  <si>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</si>
  <si>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</si>
  <si>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</si>
  <si>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</si>
  <si>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</si>
  <si>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</si>
  <si>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</si>
  <si>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</si>
  <si>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</si>
  <si>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</si>
  <si>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</si>
  <si>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</si>
  <si>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</si>
  <si>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</si>
  <si>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</si>
  <si>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</si>
  <si>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</si>
  <si>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</si>
  <si>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</si>
  <si>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</si>
  <si>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</si>
  <si>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</si>
  <si>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</si>
  <si>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</si>
  <si>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</si>
  <si>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</si>
  <si>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</si>
  <si>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</si>
  <si>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</si>
  <si>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</si>
  <si>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</si>
  <si>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</si>
  <si>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</si>
  <si>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</si>
  <si>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</si>
  <si>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</si>
  <si>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</si>
  <si>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</si>
  <si>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</si>
  <si>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</si>
  <si>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</si>
  <si>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</si>
  <si>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</si>
  <si>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</si>
  <si>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</si>
  <si>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</si>
  <si>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</si>
  <si>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</si>
  <si>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</si>
  <si>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</si>
  <si>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</si>
  <si>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</si>
  <si>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</si>
  <si>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</si>
  <si>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</si>
  <si>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</si>
  <si>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</si>
  <si>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</si>
  <si>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</si>
  <si>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</si>
  <si>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</si>
  <si>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</si>
  <si>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</si>
  <si>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</si>
  <si>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</si>
  <si>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</si>
  <si>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</si>
  <si>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</si>
  <si>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</si>
  <si>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</si>
  <si>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</si>
  <si>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</si>
  <si>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</si>
  <si>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</si>
  <si>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</si>
  <si>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</si>
  <si>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</si>
  <si>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</si>
  <si>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</si>
  <si>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</si>
  <si>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</si>
  <si>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</si>
  <si>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</si>
  <si>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</si>
  <si>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</si>
  <si>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</si>
  <si>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</si>
  <si>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</si>
  <si>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</si>
  <si>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</si>
  <si>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</si>
  <si>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</si>
  <si>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</si>
  <si>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</si>
  <si>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</si>
  <si>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</si>
  <si>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</si>
  <si>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</si>
  <si>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</si>
  <si>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</si>
  <si>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</si>
  <si>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</si>
  <si>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</si>
  <si>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</si>
  <si>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</si>
  <si>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</si>
  <si>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</si>
  <si>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</si>
  <si>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</si>
  <si>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</si>
  <si>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</si>
  <si>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</si>
  <si>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</si>
  <si>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</si>
  <si>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</si>
  <si>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</si>
  <si>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</si>
  <si>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</si>
  <si>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</si>
  <si>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</si>
  <si>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</si>
  <si>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</si>
  <si>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</si>
  <si>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</si>
  <si>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</si>
  <si>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</si>
  <si>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</si>
  <si>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</si>
  <si>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</si>
  <si>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</si>
  <si>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</si>
  <si>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</si>
  <si>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</si>
  <si>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</si>
  <si>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</si>
  <si>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</si>
  <si>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</si>
  <si>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</si>
  <si>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</si>
  <si>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</si>
  <si>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</si>
  <si>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</si>
  <si>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</si>
  <si>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</si>
  <si>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</si>
  <si>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</si>
  <si>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</si>
  <si>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</si>
  <si>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</si>
  <si>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</si>
  <si>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</si>
  <si>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</si>
  <si>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</si>
  <si>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</si>
  <si>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</si>
  <si>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</si>
  <si>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</si>
  <si>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</si>
  <si>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</si>
  <si>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</si>
  <si>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</si>
  <si>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</si>
  <si>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</si>
  <si>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</si>
  <si>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</si>
  <si>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</si>
  <si>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</si>
  <si>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</si>
  <si>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</si>
  <si>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</si>
  <si>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</si>
  <si>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</si>
  <si>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</si>
  <si>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</si>
  <si>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</si>
  <si>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</si>
  <si>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</si>
  <si>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</si>
  <si>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</si>
  <si>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</si>
  <si>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</si>
  <si>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</si>
  <si>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</si>
  <si>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</si>
  <si>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</si>
  <si>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</si>
  <si>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</si>
  <si>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</si>
  <si>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</si>
  <si>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</si>
  <si>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</si>
  <si>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</si>
  <si>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</si>
  <si>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</si>
  <si>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</si>
  <si>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</si>
  <si>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</si>
  <si>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</si>
  <si>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</si>
  <si>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</si>
  <si>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</si>
  <si>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</si>
  <si>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</si>
  <si>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</si>
  <si>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</si>
  <si>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</si>
  <si>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</si>
  <si>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</si>
  <si>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</si>
  <si>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</si>
  <si>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</si>
  <si>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</si>
  <si>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</si>
  <si>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</si>
  <si>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</si>
  <si>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</si>
  <si>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</si>
  <si>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</si>
  <si>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</si>
  <si>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</si>
  <si>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</si>
  <si>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</si>
  <si>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</si>
  <si>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</si>
  <si>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</si>
  <si>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</si>
  <si>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</si>
  <si>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</si>
  <si>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</si>
  <si>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</si>
  <si>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</si>
  <si>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</si>
  <si>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</si>
  <si>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</si>
  <si>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</si>
  <si>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</si>
  <si>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</si>
  <si>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</si>
  <si>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</si>
  <si>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</si>
  <si>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</si>
  <si>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</si>
  <si>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</si>
  <si>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</si>
  <si>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</si>
  <si>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</si>
  <si>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</si>
  <si>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</si>
  <si>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</si>
  <si>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</si>
  <si>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</si>
  <si>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</si>
  <si>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</si>
  <si>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</si>
  <si>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</si>
  <si>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</si>
  <si>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</si>
  <si>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</si>
  <si>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</si>
  <si>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</si>
  <si>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</si>
  <si>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</si>
  <si>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</si>
  <si>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</si>
  <si>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</si>
  <si>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</si>
  <si>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</si>
  <si>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</si>
  <si>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</si>
  <si>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</si>
  <si>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</si>
  <si>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</si>
  <si>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</si>
  <si>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</si>
  <si>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</si>
  <si>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</si>
  <si>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</si>
  <si>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</si>
  <si>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</si>
  <si>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</si>
  <si>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</si>
  <si>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</si>
  <si>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</si>
  <si>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</si>
  <si>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</si>
  <si>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</si>
  <si>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</si>
  <si>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</si>
  <si>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</si>
  <si>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</si>
  <si>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</si>
  <si>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</si>
  <si>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</si>
  <si>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</si>
  <si>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</si>
  <si>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</si>
  <si>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</si>
  <si>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</si>
  <si>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</si>
  <si>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</si>
  <si>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</si>
  <si>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</si>
  <si>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</si>
  <si>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</si>
  <si>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</si>
  <si>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</si>
  <si>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</si>
  <si>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</si>
  <si>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</si>
  <si>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</si>
  <si>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</si>
  <si>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</si>
  <si>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</si>
  <si>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</si>
  <si>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</si>
  <si>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</si>
  <si>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</si>
  <si>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</si>
  <si>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</si>
  <si>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</si>
  <si>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</si>
  <si>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</si>
  <si>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</si>
  <si>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</si>
  <si>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</si>
  <si>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</si>
  <si>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</si>
  <si>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</si>
  <si>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</si>
  <si>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</si>
  <si>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</si>
  <si>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</si>
  <si>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</si>
  <si>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</si>
  <si>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</si>
  <si>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</si>
  <si>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</si>
  <si>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</si>
  <si>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</si>
  <si>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</si>
  <si>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</si>
  <si>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</si>
  <si>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</si>
  <si>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</si>
  <si>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</si>
  <si>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</si>
  <si>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</si>
  <si>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</si>
  <si>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</si>
  <si>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</si>
  <si>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</si>
  <si>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</si>
  <si>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</si>
  <si>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</si>
  <si>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</si>
  <si>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</si>
  <si>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</si>
  <si>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</si>
  <si>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</si>
  <si>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</si>
  <si>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</si>
  <si>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</si>
  <si>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</si>
  <si>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</si>
  <si>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</si>
  <si>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</si>
  <si>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</si>
  <si>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</si>
  <si>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</si>
  <si>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</si>
  <si>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</si>
  <si>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</si>
  <si>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</si>
  <si>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</si>
  <si>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</si>
  <si>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</si>
  <si>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</si>
  <si>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</si>
  <si>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</si>
  <si>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</si>
  <si>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</si>
  <si>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</si>
  <si>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</si>
  <si>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</si>
  <si>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</si>
  <si>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</si>
  <si>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</si>
  <si>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</si>
  <si>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</si>
  <si>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</si>
  <si>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</si>
  <si>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</si>
  <si>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</si>
  <si>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</si>
  <si>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</si>
  <si>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</si>
  <si>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</si>
  <si>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</si>
  <si>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</si>
  <si>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</si>
  <si>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</si>
  <si>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</si>
  <si>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</si>
  <si>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</si>
  <si>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</si>
  <si>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</si>
  <si>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</si>
  <si>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</si>
  <si>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</si>
  <si>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</si>
  <si>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</si>
  <si>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</si>
  <si>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</si>
  <si>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</si>
  <si>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</si>
  <si>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</si>
  <si>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</si>
  <si>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</si>
  <si>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</si>
  <si>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</si>
  <si>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</si>
  <si>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</si>
  <si>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</si>
  <si>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</si>
  <si>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</si>
  <si>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</si>
  <si>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</si>
  <si>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</si>
  <si>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</si>
  <si>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</si>
  <si>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</si>
  <si>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</si>
  <si>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</si>
  <si>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</si>
  <si>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</si>
  <si>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</si>
  <si>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</si>
  <si>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</si>
  <si>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</si>
  <si>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</si>
  <si>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</si>
  <si>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</si>
  <si>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</si>
  <si>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</si>
  <si>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</si>
  <si>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</si>
  <si>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</si>
  <si>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</si>
  <si>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</si>
  <si>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</si>
  <si>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</si>
  <si>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</si>
  <si>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</si>
  <si>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</si>
  <si>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</si>
  <si>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</si>
  <si>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</si>
  <si>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</si>
  <si>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</si>
  <si>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</si>
  <si>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</si>
  <si>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</si>
  <si>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</si>
  <si>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</si>
  <si>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</si>
  <si>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</si>
  <si>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</si>
  <si>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</si>
  <si>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</si>
  <si>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</si>
  <si>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</si>
  <si>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</si>
  <si>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</si>
  <si>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</si>
  <si>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</si>
  <si>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</si>
  <si>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</si>
  <si>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</si>
  <si>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</si>
  <si>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</si>
  <si>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</si>
  <si>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</si>
  <si>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</si>
  <si>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</si>
  <si>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</si>
  <si>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</si>
  <si>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</si>
  <si>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</si>
  <si>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</si>
  <si>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</si>
  <si>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</si>
  <si>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</si>
  <si>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</si>
  <si>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</si>
  <si>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</si>
  <si>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</si>
  <si>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</si>
  <si>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</si>
  <si>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</si>
  <si>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</si>
  <si>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</si>
  <si>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</si>
  <si>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</si>
  <si>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</si>
  <si>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</si>
  <si>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</si>
  <si>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</si>
  <si>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</si>
  <si>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</si>
  <si>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</si>
  <si>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</si>
  <si>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</si>
  <si>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</si>
  <si>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</si>
  <si>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</si>
  <si>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</si>
  <si>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</si>
  <si>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</si>
  <si>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</si>
  <si>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</si>
  <si>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</si>
  <si>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</si>
  <si>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</si>
  <si>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</si>
  <si>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</si>
  <si>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</si>
  <si>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</si>
  <si>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</si>
  <si>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</si>
  <si>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</si>
  <si>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</si>
  <si>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</si>
  <si>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</si>
  <si>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</si>
  <si>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</si>
  <si>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</si>
  <si>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</si>
  <si>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</si>
  <si>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</si>
  <si>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</si>
  <si>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</si>
  <si>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</si>
  <si>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</si>
  <si>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</si>
  <si>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</si>
  <si>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</si>
  <si>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</si>
  <si>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</si>
  <si>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</si>
  <si>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</si>
  <si>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</si>
  <si>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</si>
  <si>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</si>
  <si>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</si>
  <si>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</si>
  <si>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</si>
  <si>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</si>
  <si>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</si>
  <si>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</si>
  <si>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</si>
  <si>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</si>
  <si>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</si>
  <si>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</si>
  <si>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</si>
  <si>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</si>
  <si>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</si>
  <si>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</si>
  <si>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</si>
  <si>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</si>
  <si>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</si>
  <si>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</si>
  <si>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</si>
  <si>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</si>
  <si>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</si>
  <si>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</si>
  <si>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</si>
  <si>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</si>
  <si>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</si>
  <si>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</si>
  <si>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</si>
  <si>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</si>
  <si>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</si>
  <si>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</si>
  <si>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</si>
  <si>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</si>
  <si>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</si>
  <si>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</si>
  <si>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</si>
  <si>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</si>
  <si>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</si>
  <si>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</si>
  <si>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</si>
  <si>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</si>
  <si>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</si>
  <si>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</si>
  <si>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</si>
  <si>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</si>
  <si>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</si>
  <si>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</si>
  <si>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</si>
  <si>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</si>
  <si>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</si>
  <si>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</si>
  <si>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</si>
  <si>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</si>
  <si>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</si>
  <si>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</si>
  <si>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</si>
  <si>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</si>
  <si>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</si>
  <si>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</si>
  <si>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</si>
  <si>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</si>
  <si>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</si>
  <si>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</si>
  <si>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</si>
  <si>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</si>
  <si>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</si>
  <si>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</si>
  <si>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</si>
  <si>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</si>
  <si>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</si>
  <si>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</si>
  <si>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</si>
  <si>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</si>
  <si>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</si>
  <si>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</si>
  <si>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</si>
  <si>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</si>
  <si>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</si>
  <si>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</si>
  <si>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</si>
  <si>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</si>
  <si>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</si>
  <si>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</si>
  <si>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</si>
  <si>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</si>
  <si>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</si>
  <si>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</si>
  <si>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</si>
  <si>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</si>
  <si>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</si>
  <si>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</si>
  <si>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</si>
  <si>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</si>
  <si>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</si>
  <si>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</si>
  <si>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</si>
  <si>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</si>
  <si>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</si>
  <si>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</si>
  <si>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</si>
  <si>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</si>
  <si>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</si>
  <si>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</si>
  <si>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</si>
  <si>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</si>
  <si>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</si>
  <si>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</si>
  <si>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</si>
  <si>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</si>
  <si>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</si>
  <si>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</si>
  <si>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</si>
  <si>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</si>
  <si>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</si>
  <si>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</si>
  <si>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</si>
  <si>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</si>
  <si>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</si>
  <si>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</si>
  <si>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</si>
  <si>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</si>
  <si>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</si>
  <si>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</si>
  <si>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</si>
  <si>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</si>
  <si>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</si>
  <si>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</si>
  <si>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</si>
  <si>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</si>
  <si>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</si>
  <si>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</si>
  <si>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</si>
  <si>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</si>
  <si>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</si>
  <si>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</si>
  <si>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</si>
  <si>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</si>
  <si>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</si>
  <si>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</si>
  <si>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</si>
  <si>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</si>
  <si>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</si>
  <si>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</si>
  <si>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</si>
  <si>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</si>
  <si>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</si>
  <si>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</si>
  <si>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</si>
  <si>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</si>
  <si>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</si>
  <si>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</si>
  <si>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</si>
  <si>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</si>
  <si>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</si>
  <si>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</si>
  <si>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</si>
  <si>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</si>
  <si>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</si>
  <si>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</si>
  <si>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</si>
  <si>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</si>
  <si>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</si>
  <si>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</si>
  <si>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</si>
  <si>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</si>
  <si>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</si>
  <si>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</si>
  <si>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</si>
  <si>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</si>
  <si>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</si>
  <si>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</si>
  <si>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</si>
  <si>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</si>
  <si>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</si>
  <si>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</si>
  <si>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</si>
  <si>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</si>
  <si>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</si>
  <si>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</si>
  <si>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</si>
  <si>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</si>
  <si>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</si>
  <si>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</si>
  <si>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</si>
  <si>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</si>
  <si>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</si>
  <si>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</si>
  <si>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</si>
  <si>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</si>
  <si>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</si>
  <si>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</si>
  <si>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</si>
  <si>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</si>
  <si>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</si>
  <si>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</si>
  <si>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</si>
  <si>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</si>
  <si>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</si>
  <si>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</si>
  <si>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</si>
  <si>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</si>
  <si>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</si>
  <si>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</si>
  <si>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</si>
  <si>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</si>
  <si>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</si>
  <si>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</si>
  <si>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</si>
  <si>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</si>
  <si>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</si>
  <si>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</si>
  <si>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</si>
  <si>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</si>
  <si>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</si>
  <si>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</si>
  <si>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</si>
  <si>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</si>
  <si>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</si>
  <si>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</si>
  <si>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</si>
  <si>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</si>
  <si>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</si>
  <si>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</si>
  <si>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</si>
  <si>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</si>
  <si>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</si>
  <si>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</si>
  <si>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</si>
  <si>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</si>
  <si>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</si>
  <si>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</si>
  <si>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</si>
  <si>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</si>
  <si>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</si>
  <si>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</si>
  <si>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</si>
  <si>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</si>
  <si>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</si>
  <si>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</si>
  <si>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</si>
  <si>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</si>
  <si>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</si>
  <si>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</si>
  <si>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</si>
  <si>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</si>
  <si>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</si>
  <si>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</si>
  <si>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</si>
  <si>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</si>
  <si>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</si>
  <si>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</si>
  <si>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</si>
  <si>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</si>
  <si>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</si>
  <si>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</si>
  <si>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</si>
  <si>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</si>
  <si>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</si>
  <si>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</si>
  <si>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</si>
  <si>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</si>
  <si>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</si>
  <si>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</si>
  <si>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</si>
  <si>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</si>
  <si>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</si>
  <si>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</si>
  <si>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</si>
  <si>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</si>
  <si>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</si>
  <si>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</si>
  <si>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</si>
  <si>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</si>
  <si>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</si>
  <si>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</si>
  <si>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</si>
  <si>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</si>
  <si>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</si>
  <si>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</si>
  <si>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</si>
  <si>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</si>
  <si>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</si>
  <si>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</si>
  <si>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</si>
  <si>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</si>
  <si>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</si>
  <si>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</si>
  <si>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</si>
  <si>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</si>
  <si>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</si>
  <si>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</si>
  <si>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</si>
  <si>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</si>
  <si>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</si>
  <si>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</si>
  <si>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</si>
  <si>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</si>
  <si>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</si>
  <si>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</si>
  <si>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</si>
  <si>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</si>
  <si>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</si>
  <si>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</si>
  <si>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</si>
  <si>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</si>
  <si>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</si>
  <si>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</si>
  <si>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</si>
  <si>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</si>
  <si>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</si>
  <si>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</si>
  <si>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</si>
  <si>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</si>
  <si>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</si>
  <si>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</si>
  <si>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</si>
  <si>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</si>
  <si>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</si>
  <si>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</si>
  <si>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</si>
  <si>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</si>
  <si>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</si>
  <si>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</si>
  <si>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</si>
  <si>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</si>
  <si>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</si>
  <si>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</si>
  <si>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</si>
  <si>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</si>
  <si>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</si>
  <si>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</si>
  <si>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</si>
  <si>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</si>
  <si>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</si>
  <si>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</si>
  <si>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</si>
  <si>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</si>
  <si>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</si>
  <si>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</si>
  <si>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</si>
  <si>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</si>
  <si>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</si>
  <si>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</si>
  <si>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</si>
  <si>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</si>
  <si>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</si>
  <si>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</si>
  <si>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</si>
  <si>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</si>
  <si>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</si>
  <si>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</si>
  <si>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</si>
  <si>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</si>
  <si>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</si>
  <si>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</si>
  <si>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</si>
  <si>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</si>
  <si>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</si>
  <si>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</si>
  <si>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</si>
  <si>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</si>
  <si>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</si>
  <si>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</si>
  <si>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</si>
  <si>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</si>
  <si>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</si>
  <si>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</si>
  <si>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</si>
  <si>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</si>
  <si>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</si>
  <si>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</si>
  <si>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</si>
  <si>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</si>
  <si>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</si>
  <si>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</si>
  <si>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</si>
  <si>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</si>
  <si>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</si>
  <si>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</si>
  <si>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</si>
  <si>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</si>
  <si>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</si>
  <si>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</si>
  <si>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</si>
  <si>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</si>
  <si>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</si>
  <si>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</si>
  <si>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</si>
  <si>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</si>
  <si>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</si>
  <si>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</si>
  <si>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</si>
  <si>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</si>
  <si>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</si>
  <si>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</si>
  <si>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</si>
  <si>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</si>
  <si>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</si>
  <si>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</si>
  <si>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</si>
  <si>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</si>
  <si>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</si>
  <si>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</si>
  <si>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</si>
  <si>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</si>
  <si>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</si>
  <si>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</si>
  <si>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</si>
  <si>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</si>
  <si>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</si>
  <si>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</si>
  <si>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</si>
  <si>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</si>
  <si>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</si>
  <si>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</si>
  <si>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</si>
  <si>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</si>
  <si>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</si>
  <si>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</si>
  <si>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</si>
  <si>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</si>
  <si>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</si>
  <si>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</si>
  <si>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</si>
  <si>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</si>
  <si>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</si>
  <si>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</si>
  <si>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</si>
  <si>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</si>
  <si>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</si>
  <si>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</si>
  <si>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</si>
  <si>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</si>
  <si>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</si>
  <si>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</si>
  <si>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</si>
  <si>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</si>
  <si>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</si>
  <si>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</si>
  <si>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</si>
  <si>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</si>
  <si>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</si>
  <si>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</si>
  <si>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</si>
  <si>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</si>
  <si>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</si>
  <si>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</si>
  <si>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</si>
  <si>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</si>
  <si>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</si>
  <si>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</si>
  <si>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</si>
  <si>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</si>
  <si>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</si>
  <si>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</si>
  <si>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</si>
  <si>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</si>
  <si>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</si>
  <si>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</si>
  <si>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</si>
  <si>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</si>
  <si>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</si>
  <si>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</si>
  <si>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</si>
  <si>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</si>
  <si>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</si>
  <si>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</si>
  <si>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</si>
  <si>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</si>
  <si>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</si>
  <si>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</si>
  <si>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</si>
  <si>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</si>
  <si>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</si>
  <si>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</si>
  <si>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</si>
  <si>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</si>
  <si>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</si>
  <si>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</si>
  <si>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</si>
  <si>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</si>
  <si>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</si>
  <si>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</si>
  <si>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</si>
  <si>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</si>
  <si>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</si>
  <si>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</si>
  <si>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</si>
  <si>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</si>
  <si>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</si>
  <si>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</si>
  <si>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</si>
  <si>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</si>
  <si>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</si>
  <si>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</si>
  <si>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</si>
  <si>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</si>
  <si>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</si>
  <si>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</si>
  <si>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</si>
  <si>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</si>
  <si>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</si>
  <si>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</si>
  <si>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</si>
  <si>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</si>
  <si>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</si>
  <si>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</si>
  <si>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</si>
  <si>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</si>
  <si>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</si>
  <si>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</si>
  <si>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</si>
  <si>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</si>
  <si>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</si>
  <si>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</si>
  <si>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</si>
  <si>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</si>
  <si>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</si>
  <si>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</si>
  <si>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</si>
  <si>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</si>
  <si>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</si>
  <si>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</si>
  <si>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</si>
  <si>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</si>
  <si>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</si>
  <si>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</si>
  <si>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</si>
  <si>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</si>
  <si>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</si>
  <si>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</si>
  <si>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</si>
  <si>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</si>
  <si>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</si>
  <si>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</si>
  <si>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</si>
  <si>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</si>
  <si>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</si>
  <si>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</si>
  <si>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</si>
  <si>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</si>
  <si>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</si>
  <si>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</si>
  <si>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</si>
  <si>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</si>
  <si>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</si>
  <si>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</si>
  <si>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</si>
  <si>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</si>
  <si>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</si>
  <si>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</si>
  <si>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</si>
  <si>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</si>
  <si>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</si>
  <si>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</si>
  <si>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</si>
  <si>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</si>
  <si>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</si>
  <si>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</si>
  <si>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</si>
  <si>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</si>
  <si>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</si>
  <si>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</si>
  <si>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</si>
  <si>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</si>
  <si>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</si>
  <si>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</si>
  <si>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</si>
  <si>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</si>
  <si>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</si>
  <si>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</si>
  <si>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</si>
  <si>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</si>
  <si>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</si>
  <si>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</si>
  <si>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</si>
  <si>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</si>
  <si>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</si>
  <si>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</si>
  <si>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</si>
  <si>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</si>
  <si>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</si>
  <si>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</si>
  <si>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</si>
  <si>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</si>
  <si>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</si>
  <si>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</si>
  <si>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</si>
  <si>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</si>
  <si>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</si>
  <si>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</si>
  <si>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</si>
  <si>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</si>
  <si>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</si>
  <si>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</si>
  <si>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</si>
  <si>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</si>
  <si>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</si>
  <si>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</si>
  <si>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</si>
  <si>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</si>
  <si>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</si>
  <si>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</si>
  <si>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</si>
  <si>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</si>
  <si>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</si>
  <si>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</si>
  <si>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</si>
  <si>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</si>
  <si>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</si>
  <si>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</si>
  <si>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</si>
  <si>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</si>
  <si>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</si>
  <si>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</si>
  <si>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</si>
  <si>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</si>
  <si>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</si>
  <si>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</si>
  <si>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</si>
  <si>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</si>
  <si>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</si>
  <si>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</si>
  <si>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</si>
  <si>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</si>
  <si>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</si>
  <si>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</si>
  <si>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</si>
  <si>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</si>
  <si>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</si>
  <si>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</si>
  <si>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</si>
  <si>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</si>
  <si>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</si>
  <si>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</si>
  <si>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</si>
  <si>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</si>
  <si>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</si>
  <si>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</si>
  <si>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</si>
  <si>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</si>
  <si>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</si>
  <si>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</si>
  <si>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</si>
  <si>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</si>
  <si>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</si>
  <si>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</si>
  <si>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</si>
  <si>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</si>
  <si>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</si>
  <si>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</si>
  <si>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</si>
  <si>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</si>
  <si>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</si>
  <si>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</si>
  <si>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</si>
  <si>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</si>
  <si>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</si>
  <si>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</si>
  <si>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</si>
  <si>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</si>
  <si>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</si>
  <si>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</si>
  <si>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</si>
  <si>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</si>
  <si>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</si>
  <si>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</si>
  <si>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</si>
  <si>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</si>
  <si>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</si>
  <si>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</si>
  <si>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</si>
  <si>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</si>
  <si>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</si>
  <si>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</si>
  <si>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</si>
  <si>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</si>
  <si>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</si>
  <si>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</si>
  <si>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</si>
  <si>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</si>
  <si>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</si>
  <si>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</si>
  <si>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</si>
  <si>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</si>
  <si>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</si>
  <si>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</si>
  <si>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</si>
  <si>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</si>
  <si>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</si>
  <si>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</si>
  <si>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</si>
  <si>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</si>
  <si>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</si>
  <si>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</si>
  <si>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</si>
  <si>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</si>
  <si>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</si>
  <si>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</si>
  <si>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</si>
  <si>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</si>
  <si>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</si>
  <si>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</si>
  <si>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</si>
  <si>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</si>
  <si>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</si>
  <si>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</si>
  <si>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</si>
  <si>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</si>
  <si>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</si>
  <si>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</si>
  <si>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</si>
  <si>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</si>
  <si>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</si>
  <si>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</si>
  <si>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</si>
  <si>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</si>
  <si>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</si>
  <si>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</si>
  <si>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</si>
  <si>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</si>
  <si>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</si>
  <si>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</si>
  <si>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</si>
  <si>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</si>
  <si>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</si>
  <si>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</si>
  <si>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</si>
  <si>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</si>
  <si>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</si>
  <si>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</si>
  <si>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</si>
  <si>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</si>
  <si>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</si>
  <si>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</si>
  <si>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</si>
  <si>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</si>
  <si>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</si>
  <si>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</si>
  <si>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</si>
  <si>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</si>
  <si>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</si>
  <si>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</si>
  <si>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</si>
  <si>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</si>
  <si>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</si>
  <si>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</si>
  <si>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</si>
  <si>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</si>
  <si>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</si>
  <si>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</si>
  <si>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</si>
  <si>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</si>
  <si>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</si>
  <si>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</si>
  <si>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</si>
  <si>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</si>
  <si>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</si>
  <si>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</si>
  <si>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</si>
  <si>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</si>
  <si>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</si>
  <si>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</si>
  <si>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</si>
  <si>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</si>
  <si>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</si>
  <si>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</si>
  <si>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</si>
  <si>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</si>
  <si>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</si>
  <si>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</si>
  <si>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</si>
  <si>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</si>
  <si>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</si>
  <si>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</si>
  <si>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</si>
  <si>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</si>
  <si>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</si>
  <si>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</si>
  <si>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</si>
  <si>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</si>
  <si>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</si>
  <si>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</si>
  <si>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</si>
  <si>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</si>
  <si>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</si>
  <si>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</si>
  <si>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</si>
  <si>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</si>
  <si>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</si>
  <si>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</si>
  <si>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</si>
  <si>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</si>
  <si>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</si>
  <si>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</si>
  <si>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</si>
  <si>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</si>
  <si>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</si>
  <si>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</si>
  <si>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</si>
  <si>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</si>
  <si>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</si>
  <si>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</si>
  <si>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</si>
  <si>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</si>
  <si>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</si>
  <si>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</si>
  <si>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</si>
  <si>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</si>
  <si>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</si>
  <si>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</si>
  <si>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</si>
  <si>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</si>
  <si>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</si>
  <si>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</si>
  <si>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</si>
  <si>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</si>
  <si>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</si>
  <si>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</si>
  <si>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</si>
  <si>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</si>
  <si>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</si>
  <si>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</si>
  <si>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</si>
  <si>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</si>
  <si>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</si>
  <si>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</si>
  <si>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</si>
  <si>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</si>
  <si>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</si>
  <si>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</si>
  <si>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</si>
  <si>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</si>
  <si>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</si>
  <si>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</si>
  <si>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</si>
  <si>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</si>
  <si>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</si>
  <si>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</si>
  <si>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</si>
  <si>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</si>
  <si>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</si>
  <si>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</si>
  <si>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</si>
  <si>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</si>
  <si>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</si>
  <si>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</si>
  <si>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</si>
  <si>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</si>
  <si>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</si>
  <si>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</si>
  <si>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</si>
  <si>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</si>
  <si>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</si>
  <si>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</si>
  <si>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</si>
  <si>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</si>
  <si>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</si>
  <si>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</si>
  <si>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</si>
  <si>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</si>
  <si>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</si>
  <si>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</si>
  <si>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</si>
  <si>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</si>
  <si>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</si>
  <si>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</si>
  <si>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</si>
  <si>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</si>
  <si>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</si>
  <si>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</si>
  <si>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</si>
  <si>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</si>
  <si>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</si>
  <si>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</si>
  <si>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</si>
  <si>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</si>
  <si>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</si>
  <si>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</si>
  <si>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</si>
  <si>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</si>
  <si>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</si>
  <si>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</si>
  <si>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</si>
  <si>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</si>
  <si>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</si>
  <si>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</si>
  <si>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</si>
  <si>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</si>
  <si>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</si>
  <si>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</si>
  <si>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</si>
  <si>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</si>
  <si>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</si>
  <si>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</si>
  <si>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</si>
  <si>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</si>
  <si>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</si>
  <si>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</si>
  <si>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</si>
  <si>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</si>
  <si>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</si>
  <si>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</si>
  <si>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</si>
  <si>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</si>
  <si>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</si>
  <si>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</si>
  <si>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</si>
  <si>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</si>
  <si>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</si>
  <si>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</si>
  <si>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</si>
  <si>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</si>
  <si>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</si>
  <si>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</si>
  <si>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</si>
  <si>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</si>
  <si>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</si>
  <si>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</si>
  <si>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</si>
  <si>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</si>
  <si>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</si>
  <si>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</si>
  <si>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</si>
  <si>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</si>
  <si>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</si>
  <si>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</si>
  <si>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</si>
  <si>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</si>
  <si>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</si>
  <si>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</si>
  <si>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</si>
  <si>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</si>
  <si>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</si>
  <si>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</si>
  <si>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</si>
  <si>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</si>
  <si>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</si>
  <si>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</si>
  <si>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</si>
  <si>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</si>
  <si>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</si>
  <si>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</si>
  <si>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</si>
  <si>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</si>
  <si>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</si>
  <si>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</si>
  <si>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</si>
  <si>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</si>
  <si>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</si>
  <si>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</si>
  <si>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</si>
  <si>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</si>
  <si>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</si>
  <si>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</si>
  <si>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</si>
  <si>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</si>
  <si>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</si>
  <si>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</si>
  <si>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</si>
  <si>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</si>
  <si>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</si>
  <si>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</si>
  <si>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</si>
  <si>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</si>
  <si>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</si>
  <si>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</si>
  <si>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</si>
  <si>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</si>
  <si>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</si>
  <si>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</si>
  <si>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</si>
  <si>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</si>
  <si>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</si>
  <si>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</si>
  <si>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</si>
  <si>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</si>
  <si>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</si>
  <si>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</si>
  <si>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</si>
  <si>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</si>
  <si>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</si>
  <si>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</si>
  <si>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</si>
  <si>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</si>
  <si>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</si>
  <si>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</si>
  <si>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</si>
  <si>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</si>
  <si>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</si>
  <si>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</si>
  <si>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</si>
  <si>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</si>
  <si>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</si>
  <si>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</si>
  <si>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</si>
  <si>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</si>
  <si>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</si>
  <si>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</si>
  <si>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</si>
  <si>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</si>
  <si>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</si>
  <si>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</si>
  <si>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</si>
  <si>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</si>
  <si>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</si>
  <si>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</si>
  <si>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</si>
  <si>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</si>
  <si>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</si>
  <si>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</si>
  <si>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</si>
  <si>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</si>
  <si>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</si>
  <si>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</si>
  <si>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</si>
  <si>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</si>
  <si>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</si>
  <si>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</si>
  <si>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</si>
  <si>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</si>
  <si>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</si>
  <si>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</si>
  <si>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</si>
  <si>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</si>
  <si>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</si>
  <si>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</si>
  <si>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</si>
  <si>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</si>
  <si>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</si>
  <si>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</si>
  <si>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</si>
  <si>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</si>
  <si>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</si>
  <si>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</si>
  <si>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</si>
  <si>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</si>
  <si>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</si>
  <si>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</si>
  <si>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</si>
  <si>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</si>
  <si>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</si>
  <si>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</si>
  <si>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</si>
  <si>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</si>
  <si>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</si>
  <si>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</si>
  <si>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</si>
  <si>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</si>
  <si>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</si>
  <si>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</si>
  <si>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</si>
  <si>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</si>
  <si>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</si>
  <si>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</si>
  <si>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</si>
  <si>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</si>
  <si>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</si>
  <si>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</si>
  <si>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</si>
  <si>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</si>
  <si>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</si>
  <si>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</si>
  <si>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</si>
  <si>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</si>
  <si>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</si>
  <si>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</si>
  <si>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</si>
  <si>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</si>
  <si>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</si>
  <si>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</si>
  <si>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</si>
  <si>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</si>
  <si>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</si>
  <si>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</si>
  <si>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</si>
  <si>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</si>
  <si>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</si>
  <si>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</si>
  <si>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</si>
  <si>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</si>
  <si>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</si>
  <si>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</si>
  <si>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</si>
  <si>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</si>
  <si>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</si>
  <si>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</si>
  <si>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</si>
  <si>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</si>
  <si>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</si>
  <si>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</si>
  <si>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</si>
  <si>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</si>
  <si>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</si>
  <si>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</si>
  <si>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</si>
  <si>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</si>
  <si>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</si>
  <si>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</si>
  <si>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</si>
  <si>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</si>
  <si>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</si>
  <si>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</si>
  <si>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</si>
  <si>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</si>
  <si>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</si>
  <si>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</si>
  <si>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</si>
  <si>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</si>
  <si>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</si>
  <si>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</si>
  <si>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</si>
  <si>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</si>
  <si>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</si>
  <si>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</si>
  <si>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</si>
  <si>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</si>
  <si>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</si>
  <si>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</si>
  <si>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</si>
  <si>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</si>
  <si>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</si>
  <si>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</si>
  <si>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</si>
  <si>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</si>
  <si>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</si>
  <si>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</si>
  <si>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</si>
  <si>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</si>
  <si>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</si>
  <si>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</si>
  <si>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</si>
  <si>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</si>
  <si>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</si>
  <si>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</si>
  <si>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</si>
  <si>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</si>
  <si>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</si>
  <si>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</si>
  <si>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</si>
  <si>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</si>
  <si>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</si>
  <si>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</si>
  <si>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</si>
  <si>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</si>
  <si>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</si>
  <si>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</si>
  <si>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</si>
  <si>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</si>
  <si>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</si>
  <si>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</si>
  <si>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</si>
  <si>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</si>
  <si>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</si>
  <si>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</si>
  <si>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</si>
  <si>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</si>
  <si>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</si>
  <si>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</si>
  <si>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</si>
  <si>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</si>
  <si>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</si>
  <si>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</si>
  <si>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</si>
  <si>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</si>
  <si>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</si>
  <si>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</si>
  <si>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</si>
  <si>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</si>
  <si>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</si>
  <si>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</si>
  <si>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</si>
  <si>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</si>
  <si>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</si>
  <si>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</si>
  <si>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</si>
  <si>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</si>
  <si>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</si>
  <si>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</si>
  <si>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</si>
  <si>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</si>
  <si>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</si>
  <si>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</si>
  <si>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</si>
  <si>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</si>
  <si>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</si>
  <si>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</si>
  <si>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</si>
  <si>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</si>
  <si>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</si>
  <si>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</si>
  <si>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</si>
  <si>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</si>
  <si>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</si>
  <si>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</si>
  <si>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</si>
  <si>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</si>
  <si>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</si>
  <si>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</si>
  <si>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</si>
  <si>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</si>
  <si>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</si>
  <si>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</si>
  <si>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</si>
  <si>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</si>
  <si>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</si>
  <si>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</si>
  <si>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</si>
  <si>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</si>
  <si>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</si>
  <si>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</si>
  <si>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</si>
  <si>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</si>
  <si>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</si>
  <si>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</si>
  <si>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</si>
  <si>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</si>
  <si>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</si>
  <si>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</si>
  <si>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</si>
  <si>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</si>
  <si>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</si>
  <si>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</si>
  <si>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</si>
  <si>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</si>
  <si>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</si>
  <si>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</si>
  <si>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</si>
  <si>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</si>
  <si>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</si>
  <si>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</si>
  <si>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</si>
  <si>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</si>
  <si>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</si>
  <si>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</si>
  <si>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</si>
  <si>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</si>
  <si>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</si>
  <si>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</si>
  <si>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</si>
  <si>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</si>
  <si>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</si>
  <si>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</si>
  <si>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</si>
  <si>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</si>
  <si>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</si>
  <si>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</si>
  <si>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</si>
  <si>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</si>
  <si>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</si>
  <si>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</si>
  <si>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</si>
  <si>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</si>
  <si>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</si>
  <si>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</si>
  <si>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</si>
  <si>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</si>
  <si>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</si>
  <si>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</si>
  <si>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</si>
  <si>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</si>
  <si>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</si>
  <si>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</si>
  <si>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</si>
  <si>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</si>
  <si>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</si>
  <si>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</si>
  <si>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</si>
  <si>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</si>
  <si>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</si>
  <si>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</si>
  <si>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</si>
  <si>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</si>
  <si>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</si>
  <si>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</si>
  <si>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</si>
  <si>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</si>
  <si>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</si>
  <si>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</si>
  <si>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</si>
  <si>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</si>
  <si>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</si>
  <si>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</si>
  <si>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</si>
  <si>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</si>
  <si>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</si>
  <si>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</si>
  <si>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</si>
  <si>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</si>
  <si>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</si>
  <si>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</si>
  <si>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</si>
  <si>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</si>
  <si>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</si>
  <si>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</si>
  <si>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</si>
  <si>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</si>
  <si>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</si>
  <si>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</si>
  <si>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</si>
  <si>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</si>
  <si>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</si>
  <si>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</si>
  <si>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</si>
  <si>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</si>
  <si>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</si>
  <si>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</si>
  <si>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</si>
  <si>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</si>
  <si>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</si>
  <si>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</si>
  <si>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</si>
  <si>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</si>
  <si>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</si>
  <si>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</si>
  <si>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</si>
  <si>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</si>
  <si>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</si>
  <si>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</si>
  <si>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</si>
  <si>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</si>
  <si>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</si>
  <si>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</si>
  <si>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</si>
  <si>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</si>
  <si>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</si>
  <si>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</si>
  <si>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</si>
  <si>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</si>
  <si>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</si>
  <si>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</si>
  <si>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</si>
  <si>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</si>
  <si>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</si>
  <si>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</si>
  <si>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</si>
  <si>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</si>
  <si>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</si>
  <si>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</si>
  <si>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</si>
  <si>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</si>
  <si>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</si>
  <si>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</si>
  <si>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</si>
  <si>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</si>
  <si>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</si>
  <si>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</si>
  <si>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</si>
  <si>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</si>
  <si>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</si>
  <si>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</si>
  <si>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</si>
  <si>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</si>
  <si>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</si>
  <si>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</si>
  <si>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</si>
  <si>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</si>
  <si>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</si>
  <si>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</si>
  <si>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</si>
  <si>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</si>
  <si>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</si>
  <si>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</si>
  <si>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</si>
  <si>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</si>
  <si>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</si>
  <si>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</si>
  <si>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</si>
  <si>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</si>
  <si>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</si>
  <si>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</si>
  <si>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</si>
  <si>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</si>
  <si>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</si>
  <si>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</si>
  <si>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</si>
  <si>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</si>
  <si>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</si>
  <si>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</si>
  <si>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</si>
  <si>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</si>
  <si>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</si>
  <si>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</si>
  <si>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</si>
  <si>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</si>
  <si>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</si>
  <si>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</si>
  <si>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</si>
  <si>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</si>
  <si>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</si>
  <si>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</si>
  <si>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</si>
  <si>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</si>
  <si>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</si>
  <si>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</si>
  <si>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</si>
  <si>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</si>
  <si>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</si>
  <si>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</si>
  <si>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</si>
  <si>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</si>
  <si>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</si>
  <si>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</si>
  <si>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</si>
  <si>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</si>
  <si>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</si>
  <si>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</si>
  <si>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</si>
  <si>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</si>
  <si>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</si>
  <si>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</si>
  <si>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</si>
  <si>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</si>
  <si>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</si>
  <si>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</si>
  <si>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</si>
  <si>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</si>
  <si>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</si>
  <si>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</si>
  <si>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</si>
  <si>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</si>
  <si>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</si>
  <si>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</si>
  <si>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</si>
  <si>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</si>
  <si>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</si>
  <si>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</si>
  <si>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</si>
  <si>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</si>
  <si>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</si>
  <si>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</si>
  <si>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</si>
  <si>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</si>
  <si>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</si>
  <si>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</si>
  <si>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</si>
  <si>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</si>
  <si>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</si>
  <si>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</si>
  <si>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</si>
  <si>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</si>
  <si>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</si>
  <si>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</si>
  <si>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</si>
  <si>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</si>
  <si>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</si>
  <si>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</si>
  <si>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</si>
  <si>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</si>
  <si>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</si>
  <si>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</si>
  <si>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</si>
  <si>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</si>
  <si>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</si>
  <si>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</si>
  <si>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</si>
  <si>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</si>
  <si>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</si>
  <si>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</si>
  <si>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</si>
  <si>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</si>
  <si>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</si>
  <si>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</si>
  <si>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</si>
  <si>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</si>
  <si>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</si>
  <si>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</si>
  <si>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</si>
  <si>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</si>
  <si>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</si>
  <si>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</si>
  <si>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</si>
  <si>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</si>
  <si>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</si>
  <si>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</si>
  <si>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</si>
  <si>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</si>
  <si>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</si>
  <si>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</si>
  <si>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</si>
  <si>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</si>
  <si>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</si>
  <si>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</si>
  <si>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</si>
  <si>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</si>
  <si>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</si>
  <si>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</si>
  <si>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</si>
  <si>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</si>
  <si>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</si>
  <si>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</si>
  <si>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</si>
  <si>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</si>
  <si>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</si>
  <si>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</si>
  <si>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</si>
  <si>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</si>
  <si>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</si>
  <si>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</si>
  <si>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</si>
  <si>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</si>
  <si>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</si>
  <si>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</si>
  <si>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</si>
  <si>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</si>
  <si>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</si>
  <si>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</si>
  <si>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</si>
  <si>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</si>
  <si>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</si>
  <si>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</si>
  <si>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</si>
  <si>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</si>
  <si>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</si>
  <si>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</si>
  <si>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</si>
  <si>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</si>
  <si>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</si>
  <si>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</si>
  <si>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</si>
  <si>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</si>
  <si>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</si>
  <si>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</si>
  <si>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</si>
  <si>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</si>
  <si>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</si>
  <si>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</si>
  <si>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</si>
  <si>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</si>
  <si>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</si>
  <si>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</si>
  <si>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</si>
  <si>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</si>
  <si>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</si>
  <si>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</si>
  <si>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</si>
  <si>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</si>
  <si>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</si>
  <si>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</si>
  <si>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</si>
  <si>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</si>
  <si>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</si>
  <si>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</si>
  <si>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</si>
  <si>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</si>
  <si>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</si>
  <si>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</si>
  <si>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</si>
  <si>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</si>
  <si>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</si>
  <si>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</si>
  <si>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</si>
  <si>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</si>
  <si>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</si>
  <si>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</si>
  <si>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</si>
  <si>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</si>
  <si>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</si>
  <si>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</si>
  <si>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</si>
  <si>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</si>
  <si>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</si>
  <si>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</si>
  <si>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</si>
  <si>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</si>
  <si>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</si>
  <si>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</si>
  <si>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</si>
  <si>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</si>
  <si>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</si>
  <si>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</si>
  <si>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</si>
  <si>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</si>
  <si>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</si>
  <si>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</si>
  <si>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</si>
  <si>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</si>
  <si>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</si>
  <si>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</si>
  <si>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</si>
  <si>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</si>
  <si>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</si>
  <si>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</si>
  <si>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</si>
  <si>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</si>
  <si>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</si>
  <si>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</si>
  <si>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</si>
  <si>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</si>
  <si>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</si>
  <si>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</si>
  <si>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</si>
  <si>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</si>
  <si>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</si>
  <si>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</si>
  <si>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</si>
  <si>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</si>
  <si>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</si>
  <si>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</si>
  <si>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</si>
  <si>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</si>
  <si>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</si>
  <si>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</si>
  <si>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</si>
  <si>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</si>
  <si>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</si>
  <si>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</si>
  <si>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</si>
  <si>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</si>
  <si>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</si>
  <si>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</si>
  <si>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</si>
  <si>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</si>
  <si>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</si>
  <si>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</si>
  <si>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</si>
  <si>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</si>
  <si>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</si>
  <si>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</si>
  <si>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</si>
  <si>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</si>
  <si>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</si>
  <si>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</si>
  <si>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</si>
  <si>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</si>
  <si>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</si>
  <si>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</si>
  <si>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</si>
  <si>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</si>
  <si>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</si>
  <si>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</si>
  <si>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</si>
  <si>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</si>
  <si>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</si>
  <si>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</si>
  <si>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</si>
  <si>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</si>
  <si>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</si>
  <si>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</si>
  <si>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</si>
  <si>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</si>
  <si>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</si>
  <si>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</si>
  <si>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</si>
  <si>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</si>
  <si>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</si>
  <si>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</si>
  <si>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</si>
  <si>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</si>
  <si>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</si>
  <si>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</si>
  <si>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</si>
  <si>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</si>
  <si>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</si>
  <si>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</si>
  <si>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</si>
  <si>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</si>
  <si>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</si>
  <si>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</si>
  <si>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</si>
  <si>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</si>
  <si>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</si>
  <si>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</si>
  <si>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</si>
  <si>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</si>
  <si>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</si>
  <si>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</si>
  <si>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</si>
  <si>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</si>
  <si>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</si>
  <si>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</si>
  <si>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</si>
  <si>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</si>
  <si>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</si>
  <si>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</si>
  <si>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</si>
  <si>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</si>
  <si>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</si>
  <si>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</si>
  <si>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</si>
  <si>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</si>
  <si>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</si>
  <si>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</si>
  <si>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</si>
  <si>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</si>
  <si>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</si>
  <si>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</si>
  <si>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</si>
  <si>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</si>
  <si>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</si>
  <si>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</si>
  <si>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</si>
  <si>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</si>
  <si>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</si>
  <si>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</si>
  <si>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</si>
  <si>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</si>
  <si>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</si>
  <si>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</si>
  <si>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</si>
  <si>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</si>
  <si>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</si>
  <si>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</si>
  <si>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</si>
  <si>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</si>
  <si>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</si>
  <si>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</si>
  <si>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</si>
  <si>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</si>
  <si>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</si>
  <si>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</si>
  <si>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</si>
  <si>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</si>
  <si>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</si>
  <si>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</si>
  <si>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</si>
  <si>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</si>
  <si>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</si>
  <si>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</si>
  <si>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</si>
  <si>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</si>
  <si>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</si>
  <si>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</si>
  <si>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</si>
  <si>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</si>
  <si>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</si>
  <si>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</si>
  <si>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</si>
  <si>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</si>
  <si>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</si>
  <si>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</si>
  <si>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</si>
  <si>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</si>
  <si>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</si>
  <si>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</si>
  <si>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</si>
  <si>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</si>
  <si>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</si>
  <si>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</si>
  <si>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</si>
  <si>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</si>
  <si>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</si>
  <si>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</si>
  <si>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</si>
  <si>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</si>
  <si>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</si>
  <si>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</si>
  <si>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</si>
  <si>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</si>
  <si>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</si>
  <si>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</si>
  <si>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</si>
  <si>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</si>
  <si>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</si>
  <si>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</si>
  <si>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</si>
  <si>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</si>
  <si>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</si>
  <si>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</si>
  <si>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</si>
  <si>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</si>
  <si>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</si>
  <si>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</si>
  <si>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</si>
  <si>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</si>
  <si>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</si>
  <si>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</si>
  <si>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</si>
  <si>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</si>
  <si>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</si>
  <si>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</si>
  <si>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</si>
  <si>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</si>
  <si>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</si>
  <si>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</si>
  <si>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</si>
  <si>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</si>
  <si>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</si>
  <si>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</si>
  <si>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</si>
  <si>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</si>
  <si>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</si>
  <si>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</si>
  <si>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</si>
  <si>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</si>
  <si>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</si>
  <si>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</si>
  <si>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</si>
  <si>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</si>
  <si>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</si>
  <si>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</si>
  <si>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</si>
  <si>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</si>
  <si>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</si>
  <si>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</si>
  <si>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</si>
  <si>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</si>
  <si>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</si>
  <si>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</si>
  <si>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</si>
  <si>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</si>
  <si>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</si>
  <si>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</si>
  <si>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</si>
  <si>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</si>
  <si>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</si>
  <si>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</si>
  <si>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</si>
  <si>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</si>
  <si>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</si>
  <si>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</si>
  <si>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</si>
  <si>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</si>
  <si>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</si>
  <si>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</si>
  <si>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</si>
  <si>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</si>
  <si>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</si>
  <si>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</si>
  <si>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</si>
  <si>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</si>
  <si>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</si>
  <si>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</si>
  <si>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</si>
  <si>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</si>
  <si>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</si>
  <si>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</si>
  <si>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</si>
  <si>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</si>
  <si>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</si>
  <si>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</si>
  <si>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</si>
  <si>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</si>
  <si>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</si>
  <si>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</si>
  <si>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</si>
  <si>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</si>
  <si>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</si>
  <si>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</si>
  <si>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</si>
  <si>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</si>
  <si>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</si>
  <si>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</si>
  <si>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</si>
  <si>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</si>
  <si>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</si>
  <si>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</si>
  <si>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</si>
  <si>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</si>
  <si>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</si>
  <si>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</si>
  <si>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</si>
  <si>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</si>
  <si>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</si>
  <si>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</si>
  <si>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</si>
  <si>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</si>
  <si>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</si>
  <si>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</si>
  <si>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</si>
  <si>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</si>
  <si>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</si>
  <si>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</si>
  <si>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</si>
  <si>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</si>
  <si>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</si>
  <si>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</si>
  <si>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</si>
  <si>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</si>
  <si>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</si>
  <si>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</si>
  <si>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</si>
  <si>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</si>
  <si>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</si>
  <si>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</si>
  <si>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</si>
  <si>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</si>
  <si>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</si>
  <si>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</si>
  <si>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</si>
  <si>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</si>
  <si>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</si>
  <si>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</si>
  <si>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</si>
  <si>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</si>
  <si>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</si>
  <si>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</si>
  <si>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</si>
  <si>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</si>
  <si>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</si>
  <si>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</si>
  <si>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</si>
  <si>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</si>
  <si>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</si>
  <si>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</si>
  <si>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</si>
  <si>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</si>
  <si>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</si>
  <si>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</si>
  <si>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</si>
  <si>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</si>
  <si>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</si>
  <si>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</si>
  <si>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</si>
  <si>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</si>
  <si>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</si>
  <si>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</si>
  <si>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</si>
  <si>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</si>
  <si>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</si>
  <si>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</si>
  <si>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</si>
  <si>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</si>
  <si>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</si>
  <si>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</si>
  <si>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</si>
  <si>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</si>
  <si>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</si>
  <si>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</si>
  <si>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</si>
  <si>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</si>
  <si>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</si>
  <si>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</si>
  <si>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</si>
  <si>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</si>
  <si>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</si>
  <si>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</si>
  <si>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</si>
  <si>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</si>
  <si>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</si>
  <si>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</si>
  <si>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</si>
  <si>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</si>
  <si>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</si>
  <si>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</si>
  <si>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</si>
  <si>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</si>
  <si>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</si>
  <si>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</si>
  <si>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</si>
  <si>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</si>
  <si>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</si>
  <si>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</si>
  <si>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</si>
  <si>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</si>
  <si>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</si>
  <si>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</si>
  <si>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</si>
  <si>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</si>
  <si>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</si>
  <si>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</si>
  <si>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</si>
  <si>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</si>
  <si>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</si>
  <si>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</si>
  <si>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</si>
  <si>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</si>
  <si>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</si>
  <si>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</si>
  <si>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</si>
  <si>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</si>
  <si>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</si>
  <si>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</si>
  <si>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</si>
  <si>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</si>
  <si>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</si>
  <si>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</si>
  <si>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</si>
  <si>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</si>
  <si>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</si>
  <si>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</si>
  <si>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</si>
  <si>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</si>
  <si>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</si>
  <si>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</si>
  <si>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</si>
  <si>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</si>
  <si>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</si>
  <si>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</si>
  <si>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</si>
  <si>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</si>
  <si>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</si>
  <si>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</si>
  <si>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</si>
  <si>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</si>
  <si>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</si>
  <si>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</si>
  <si>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</si>
  <si>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</si>
  <si>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</si>
  <si>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</si>
  <si>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</si>
  <si>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</si>
  <si>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</si>
  <si>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</si>
  <si>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</si>
  <si>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</si>
  <si>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</si>
  <si>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</si>
  <si>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</si>
  <si>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</si>
  <si>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</si>
  <si>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</si>
  <si>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</si>
  <si>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</si>
  <si>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</si>
  <si>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</si>
  <si>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</si>
  <si>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</si>
  <si>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</si>
  <si>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</si>
  <si>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</si>
  <si>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</si>
  <si>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</si>
  <si>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</si>
  <si>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</si>
  <si>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</si>
  <si>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</si>
  <si>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</si>
  <si>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</si>
  <si>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</si>
  <si>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</si>
  <si>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</si>
  <si>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</si>
  <si>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</si>
  <si>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</si>
  <si>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</si>
  <si>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</si>
  <si>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</si>
  <si>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</si>
  <si>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</si>
  <si>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</si>
  <si>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</si>
  <si>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</si>
  <si>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</si>
  <si>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</si>
  <si>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</si>
  <si>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</si>
  <si>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</si>
  <si>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</si>
  <si>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</si>
  <si>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</si>
  <si>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</si>
  <si>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</si>
  <si>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</si>
  <si>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</si>
  <si>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</si>
  <si>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</si>
  <si>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</si>
  <si>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</si>
  <si>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</si>
  <si>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</si>
  <si>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</si>
  <si>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</si>
  <si>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</si>
  <si>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</si>
  <si>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</si>
  <si>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</si>
  <si>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</si>
  <si>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</si>
  <si>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</si>
  <si>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</si>
  <si>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</si>
  <si>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</si>
  <si>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</si>
  <si>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</si>
  <si>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</si>
  <si>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</si>
  <si>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</si>
  <si>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</si>
  <si>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</si>
  <si>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</si>
  <si>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</si>
  <si>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</si>
  <si>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</si>
  <si>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</si>
  <si>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</si>
  <si>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</si>
  <si>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</si>
  <si>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</si>
  <si>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</si>
  <si>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</si>
  <si>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</si>
  <si>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</si>
  <si>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</si>
  <si>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</si>
  <si>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</si>
  <si>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</si>
  <si>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</si>
  <si>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</si>
  <si>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</si>
  <si>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</si>
  <si>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</si>
  <si>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</si>
  <si>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</si>
  <si>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</si>
  <si>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</si>
  <si>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</si>
  <si>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</si>
  <si>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</si>
  <si>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</si>
  <si>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</si>
  <si>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</si>
  <si>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</si>
  <si>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</si>
  <si>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</si>
  <si>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</si>
  <si>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</si>
  <si>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</si>
  <si>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</si>
  <si>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</si>
  <si>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</si>
  <si>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</si>
  <si>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</si>
  <si>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</si>
  <si>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</si>
  <si>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</si>
  <si>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</si>
  <si>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</si>
  <si>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</si>
  <si>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</si>
  <si>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</si>
  <si>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</si>
  <si>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</si>
  <si>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</si>
  <si>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</si>
  <si>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</si>
  <si>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</si>
  <si>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</si>
  <si>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</si>
  <si>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</si>
  <si>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</si>
  <si>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</si>
  <si>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</si>
  <si>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</si>
  <si>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</si>
  <si>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</si>
  <si>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</si>
  <si>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</si>
  <si>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</si>
  <si>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</si>
  <si>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</si>
  <si>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</si>
  <si>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</si>
  <si>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</si>
  <si>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</si>
  <si>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</si>
  <si>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</si>
  <si>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</si>
  <si>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</si>
  <si>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</si>
  <si>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</si>
  <si>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</si>
  <si>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</si>
  <si>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</si>
  <si>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</si>
  <si>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</si>
  <si>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</si>
  <si>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</si>
  <si>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</si>
  <si>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</si>
  <si>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</si>
  <si>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</si>
  <si>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</si>
  <si>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</si>
  <si>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</si>
  <si>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</si>
  <si>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</si>
  <si>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</si>
  <si>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</si>
  <si>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</si>
  <si>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</si>
  <si>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</si>
  <si>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</si>
  <si>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</si>
  <si>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</si>
  <si>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</si>
  <si>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</si>
  <si>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</si>
  <si>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</si>
  <si>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</si>
  <si>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</si>
  <si>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</si>
  <si>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</si>
  <si>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</si>
  <si>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</si>
  <si>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</si>
  <si>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</si>
  <si>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</si>
  <si>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</si>
  <si>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</si>
  <si>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</si>
  <si>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</si>
  <si>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</si>
  <si>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</si>
  <si>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</si>
  <si>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</si>
  <si>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</si>
  <si>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</si>
  <si>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</si>
  <si>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</si>
  <si>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</si>
  <si>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</si>
  <si>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</si>
  <si>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</si>
  <si>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</si>
  <si>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</si>
  <si>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</si>
  <si>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</si>
  <si>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</si>
  <si>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</si>
  <si>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</si>
  <si>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</si>
  <si>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</si>
  <si>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</si>
  <si>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</si>
  <si>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</si>
  <si>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</si>
  <si>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</si>
  <si>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</si>
  <si>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</si>
  <si>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</si>
  <si>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</si>
  <si>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</si>
  <si>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</si>
  <si>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</si>
  <si>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</si>
  <si>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</si>
  <si>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</si>
  <si>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</si>
  <si>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</si>
  <si>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</si>
  <si>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</si>
  <si>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</si>
  <si>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</si>
  <si>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</si>
  <si>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</si>
  <si>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</si>
  <si>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</si>
  <si>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</si>
  <si>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</si>
  <si>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</si>
  <si>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</si>
  <si>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</si>
  <si>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</si>
  <si>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</si>
  <si>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</si>
  <si>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</si>
  <si>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</si>
  <si>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</si>
  <si>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</si>
  <si>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</si>
  <si>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</si>
  <si>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</si>
  <si>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</si>
  <si>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</si>
  <si>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</si>
  <si>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</si>
  <si>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</si>
  <si>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</si>
  <si>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</si>
  <si>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</si>
  <si>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</si>
  <si>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</si>
  <si>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</si>
  <si>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</si>
  <si>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</si>
  <si>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</si>
  <si>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</si>
  <si>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</si>
  <si>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</si>
  <si>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</si>
  <si>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</si>
  <si>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</si>
  <si>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</si>
  <si>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</si>
  <si>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</si>
  <si>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</si>
  <si>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</si>
  <si>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</si>
  <si>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</si>
  <si>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</si>
  <si>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</si>
  <si>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</si>
  <si>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</si>
  <si>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</si>
  <si>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</si>
  <si>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</si>
  <si>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</si>
  <si>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</si>
  <si>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</si>
  <si>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</si>
  <si>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</si>
  <si>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</si>
  <si>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</si>
  <si>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</si>
  <si>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</si>
  <si>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</si>
  <si>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</si>
  <si>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</si>
  <si>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</si>
  <si>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</si>
  <si>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</si>
  <si>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</si>
  <si>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</si>
  <si>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</si>
  <si>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</si>
  <si>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</si>
  <si>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</si>
  <si>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</si>
  <si>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</si>
  <si>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</si>
  <si>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</si>
  <si>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</si>
  <si>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</si>
  <si>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</si>
  <si>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</si>
  <si>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</si>
  <si>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</si>
  <si>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</si>
  <si>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</si>
  <si>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</si>
  <si>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</si>
  <si>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</si>
  <si>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</si>
  <si>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</si>
  <si>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</si>
  <si>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</si>
  <si>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</si>
  <si>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</si>
  <si>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</si>
  <si>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</si>
  <si>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</si>
  <si>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</si>
  <si>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</si>
  <si>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</si>
  <si>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</si>
  <si>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</si>
  <si>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</si>
  <si>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</si>
  <si>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</si>
  <si>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</si>
  <si>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</si>
  <si>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</si>
  <si>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</si>
  <si>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</si>
  <si>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</si>
  <si>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</si>
  <si>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</si>
  <si>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</si>
  <si>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</si>
  <si>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</si>
  <si>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</si>
  <si>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</si>
  <si>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</si>
  <si>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</si>
  <si>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</si>
  <si>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</si>
  <si>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</si>
  <si>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</si>
  <si>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</si>
  <si>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</si>
  <si>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</si>
  <si>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</si>
  <si>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</si>
  <si>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</si>
  <si>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</si>
  <si>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</si>
  <si>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</si>
  <si>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</si>
  <si>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</si>
  <si>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</si>
  <si>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</si>
  <si>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</si>
  <si>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</si>
  <si>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</si>
  <si>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</si>
  <si>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</si>
  <si>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</si>
  <si>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</si>
  <si>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</si>
  <si>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</si>
  <si>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</si>
  <si>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</si>
  <si>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</si>
  <si>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</si>
  <si>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</si>
  <si>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</si>
  <si>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</si>
  <si>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</si>
  <si>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</si>
  <si>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</si>
  <si>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</si>
  <si>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</si>
  <si>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</si>
  <si>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</si>
  <si>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</si>
  <si>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</si>
  <si>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</si>
  <si>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</si>
  <si>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</si>
  <si>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</si>
  <si>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</si>
  <si>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</si>
  <si>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</si>
  <si>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</si>
  <si>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</si>
  <si>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</si>
  <si>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</si>
  <si>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</si>
  <si>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</si>
  <si>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</si>
  <si>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</si>
  <si>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</si>
  <si>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</si>
  <si>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</si>
  <si>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</si>
  <si>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</si>
  <si>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</si>
  <si>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</si>
  <si>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</si>
  <si>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</si>
  <si>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</si>
  <si>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</si>
  <si>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</si>
  <si>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</si>
  <si>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</si>
  <si>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</si>
  <si>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</si>
  <si>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</si>
  <si>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</si>
  <si>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</si>
  <si>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</si>
  <si>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</si>
  <si>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</si>
  <si>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</si>
  <si>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</si>
  <si>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</si>
  <si>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</si>
  <si>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</si>
  <si>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</si>
  <si>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</si>
  <si>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</si>
  <si>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</si>
  <si>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</si>
  <si>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</si>
  <si>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</si>
  <si>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</si>
  <si>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</si>
  <si>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</si>
  <si>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</si>
  <si>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</si>
  <si>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</si>
  <si>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</si>
  <si>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</si>
  <si>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</si>
  <si>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</si>
  <si>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</si>
  <si>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</si>
  <si>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</si>
  <si>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</si>
  <si>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</si>
  <si>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</si>
  <si>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</si>
  <si>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</si>
  <si>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</si>
  <si>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</si>
  <si>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</si>
  <si>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</si>
  <si>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</si>
  <si>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</si>
  <si>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</si>
  <si>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</si>
  <si>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</si>
  <si>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</si>
  <si>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</si>
  <si>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</si>
  <si>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</si>
  <si>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</si>
  <si>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</si>
  <si>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</si>
  <si>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</si>
  <si>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</si>
  <si>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</si>
  <si>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</si>
  <si>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</si>
  <si>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</si>
  <si>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</si>
  <si>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</si>
  <si>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</si>
  <si>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</si>
  <si>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</si>
  <si>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</si>
  <si>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</si>
  <si>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</si>
  <si>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</si>
  <si>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</si>
  <si>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</si>
  <si>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</si>
  <si>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</si>
  <si>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</si>
  <si>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</si>
  <si>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</si>
  <si>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</si>
  <si>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</si>
  <si>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</si>
  <si>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</si>
  <si>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</si>
  <si>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</si>
  <si>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</si>
  <si>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</si>
  <si>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</si>
  <si>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</si>
  <si>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</si>
  <si>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</si>
  <si>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</si>
  <si>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</si>
  <si>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</si>
  <si>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</si>
  <si>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</si>
  <si>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</si>
  <si>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</si>
  <si>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</si>
  <si>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</si>
  <si>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</si>
  <si>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</si>
  <si>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</si>
  <si>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</si>
  <si>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</si>
  <si>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</si>
  <si>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</si>
  <si>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</si>
  <si>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</si>
  <si>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</si>
  <si>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</si>
  <si>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</si>
  <si>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</si>
  <si>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</si>
  <si>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</si>
  <si>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</si>
  <si>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</si>
  <si>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</si>
  <si>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</si>
  <si>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</si>
  <si>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</si>
  <si>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</si>
  <si>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</si>
  <si>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</si>
  <si>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</si>
  <si>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</si>
  <si>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</si>
  <si>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</si>
  <si>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</si>
  <si>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</si>
  <si>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</si>
  <si>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</si>
  <si>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</si>
  <si>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</si>
  <si>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</si>
  <si>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</si>
  <si>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</si>
  <si>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</si>
  <si>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</si>
  <si>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</si>
  <si>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</si>
  <si>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</si>
  <si>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</si>
  <si>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</si>
  <si>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</si>
  <si>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</si>
  <si>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</si>
  <si>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</si>
  <si>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</si>
  <si>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</si>
  <si>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</si>
  <si>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</si>
  <si>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</si>
  <si>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</si>
  <si>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</si>
  <si>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</si>
  <si>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</si>
  <si>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</si>
  <si>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</si>
  <si>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</si>
  <si>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</si>
  <si>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</si>
  <si>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</si>
  <si>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</si>
  <si>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</si>
  <si>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</si>
  <si>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</si>
  <si>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</si>
  <si>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</si>
  <si>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</si>
  <si>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</si>
  <si>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</si>
  <si>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</si>
  <si>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</si>
  <si>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</si>
  <si>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</si>
  <si>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</si>
  <si>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</si>
  <si>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</si>
  <si>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</si>
  <si>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</si>
  <si>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</si>
  <si>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</si>
  <si>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</si>
  <si>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</si>
  <si>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</si>
  <si>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</si>
  <si>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</si>
  <si>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</si>
  <si>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</si>
  <si>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</si>
  <si>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</si>
  <si>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</si>
  <si>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</si>
  <si>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</si>
  <si>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</si>
  <si>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</si>
  <si>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</si>
  <si>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</si>
  <si>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</si>
  <si>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</si>
  <si>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</si>
  <si>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</si>
  <si>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</si>
  <si>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</si>
  <si>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</si>
  <si>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</si>
  <si>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</si>
  <si>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</si>
  <si>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</si>
  <si>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</si>
  <si>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</si>
  <si>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</si>
  <si>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</si>
  <si>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</si>
  <si>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</si>
  <si>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</si>
  <si>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</si>
  <si>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</si>
  <si>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</si>
  <si>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</si>
  <si>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</si>
  <si>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</si>
  <si>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</si>
  <si>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</si>
  <si>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</si>
  <si>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</si>
  <si>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</si>
  <si>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</si>
  <si>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</si>
  <si>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</si>
  <si>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</si>
  <si>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</si>
  <si>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</si>
  <si>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</si>
  <si>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</si>
  <si>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</si>
  <si>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</si>
  <si>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</si>
  <si>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</si>
  <si>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</si>
  <si>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</si>
  <si>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</si>
  <si>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</si>
  <si>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</si>
  <si>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</si>
  <si>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</si>
  <si>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</si>
  <si>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</si>
  <si>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</si>
  <si>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</si>
  <si>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</si>
  <si>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</si>
  <si>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</si>
  <si>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</si>
  <si>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</si>
  <si>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</si>
  <si>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</si>
  <si>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</si>
  <si>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</si>
  <si>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</si>
  <si>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</si>
  <si>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</si>
  <si>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</si>
  <si>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</si>
  <si>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</si>
  <si>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</si>
  <si>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</si>
  <si>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</si>
  <si>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</si>
  <si>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</si>
  <si>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</si>
  <si>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</si>
  <si>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</si>
  <si>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</si>
  <si>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</si>
  <si>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</si>
  <si>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</si>
  <si>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</si>
  <si>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</si>
  <si>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</si>
  <si>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</si>
  <si>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</si>
  <si>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</si>
  <si>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</si>
  <si>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</si>
  <si>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</si>
  <si>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</si>
  <si>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</si>
  <si>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</si>
  <si>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</si>
  <si>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</si>
  <si>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</si>
  <si>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</si>
  <si>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</si>
  <si>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</si>
  <si>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</si>
  <si>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</si>
  <si>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</si>
  <si>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</si>
  <si>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</si>
  <si>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</si>
  <si>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</si>
  <si>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</si>
  <si>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</si>
  <si>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</si>
  <si>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</si>
  <si>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</si>
  <si>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</si>
  <si>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</si>
  <si>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</si>
  <si>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</si>
  <si>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</si>
  <si>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</si>
  <si>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</si>
  <si>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</si>
  <si>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</si>
  <si>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</si>
  <si>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</si>
  <si>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</si>
  <si>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</si>
  <si>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</si>
  <si>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</si>
  <si>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</si>
  <si>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</si>
  <si>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</si>
  <si>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</si>
  <si>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</si>
  <si>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</si>
  <si>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</si>
  <si>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</si>
  <si>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</si>
  <si>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</si>
  <si>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</si>
  <si>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</si>
  <si>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</si>
  <si>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</si>
  <si>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</si>
  <si>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</si>
  <si>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</si>
  <si>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</si>
  <si>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</si>
  <si>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</si>
  <si>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</si>
  <si>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</si>
  <si>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</si>
  <si>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</si>
  <si>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</si>
  <si>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</si>
  <si>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</si>
  <si>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</si>
  <si>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</si>
  <si>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</si>
  <si>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</si>
  <si>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</si>
  <si>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</si>
  <si>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</si>
  <si>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</si>
  <si>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</si>
  <si>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</si>
  <si>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</si>
  <si>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</si>
  <si>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</si>
  <si>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</si>
  <si>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</si>
  <si>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</si>
  <si>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</si>
  <si>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</si>
  <si>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</si>
  <si>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</si>
  <si>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</si>
  <si>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</si>
  <si>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</si>
  <si>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</si>
  <si>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</si>
  <si>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</si>
  <si>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</si>
  <si>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</si>
  <si>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</si>
  <si>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</si>
  <si>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</si>
  <si>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</si>
  <si>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</si>
  <si>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</si>
  <si>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</si>
  <si>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</si>
  <si>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</si>
  <si>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</si>
  <si>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</si>
  <si>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</si>
  <si>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</si>
  <si>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</si>
  <si>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</si>
  <si>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</si>
  <si>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</si>
  <si>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</si>
  <si>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</si>
  <si>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</si>
  <si>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Feb</t>
  </si>
  <si>
    <t>Jun</t>
  </si>
  <si>
    <t>Jul</t>
  </si>
  <si>
    <t>Sep</t>
  </si>
  <si>
    <t>Oct</t>
  </si>
  <si>
    <t>Years (Order Date)</t>
  </si>
  <si>
    <t>Months (Order Date)</t>
  </si>
  <si>
    <t>Arabica</t>
  </si>
  <si>
    <t>Liberica</t>
  </si>
  <si>
    <t>Robusta</t>
  </si>
  <si>
    <t>Sum of Sales</t>
  </si>
  <si>
    <t>Excelsa</t>
  </si>
  <si>
    <t>Mar</t>
  </si>
  <si>
    <t>Apr</t>
  </si>
  <si>
    <t>May</t>
  </si>
  <si>
    <t>Aug</t>
  </si>
  <si>
    <t>Jan</t>
  </si>
  <si>
    <t>Nov</t>
  </si>
  <si>
    <t>Dec</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</si>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</sst>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37">
    <dxf>
      <numFmt numFmtId="3" formatCode="#,##0"/>
    </dxf>
    <dxf>
      <numFmt numFmtId="168" formatCode="&quot;$&quot;#,##0"/>
    </dxf>
    <dxf>
      <numFmt numFmtId="3" formatCode="#,##0"/>
    </dxf>
    <dxf>
      <numFmt numFmtId="168" formatCode="&quot;$&quot;#,##0"/>
    </dxf>
    <dxf>
      <numFmt numFmtId="3" formatCode="#,##0"/>
    </dxf>
    <dxf>
      <numFmt numFmtId="168" formatCode="&quot;$&quot;#,##0"/>
    </dxf>
    <dxf>
      <numFmt numFmtId="3" formatCode="#,##0"/>
    </dxf>
    <dxf>
      <numFmt numFmtId="168" formatCode="&quot;$&quot;#,##0"/>
    </dxf>
    <dxf>
      <numFmt numFmtId="3" formatCode="#,##0"/>
    </dxf>
    <dxf>
      <numFmt numFmtId="168" formatCode="&quot;$&quot;#,##0"/>
    </dxf>
    <dxf>
      <numFmt numFmtId="3" formatCode="#,##0"/>
    </dxf>
    <dxf>
      <numFmt numFmtId="168" formatCode="&quot;$&quot;#,##0"/>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
    </dxf>
    <dxf>
      <numFmt numFmtId="3" formatCode="#,##0"/>
    </dxf>
    <dxf>
      <numFmt numFmtId="168" formatCode="&quot;$&quot;#,##0"/>
    </dxf>
    <dxf>
      <numFmt numFmtId="3" formatCode="#,##0"/>
    </dxf>
    <dxf>
      <font>
        <b/>
        <i val="0"/>
        <sz val="10"/>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name val="Calibri"/>
        <family val="2"/>
        <scheme val="minor"/>
      </font>
      <fill>
        <patternFill>
          <bgColor theme="0"/>
        </patternFill>
      </fill>
      <border>
        <left style="thin">
          <color auto="1"/>
        </left>
        <right style="thin">
          <color auto="1"/>
        </right>
        <top style="thin">
          <color auto="1"/>
        </top>
        <bottom style="thin">
          <color auto="1"/>
        </bottom>
      </border>
    </dxf>
    <dxf>
      <font>
        <b/>
        <i val="0"/>
        <sz val="11"/>
        <color theme="0"/>
        <name val="Calibri"/>
        <family val="2"/>
        <scheme val="minor"/>
      </font>
      <border>
        <left style="thin">
          <color auto="1"/>
        </left>
        <right style="thin">
          <color auto="1"/>
        </right>
        <top style="thin">
          <color auto="1"/>
        </top>
        <bottom style="thin">
          <color auto="1"/>
        </bottom>
      </border>
    </dxf>
    <dxf>
      <fill>
        <patternFill>
          <bgColor rgb="FFAE6534"/>
        </patternFill>
      </fill>
    </dxf>
    <dxf>
      <font>
        <b/>
        <i val="0"/>
        <sz val="10"/>
        <color theme="0"/>
        <name val="Calibri"/>
        <family val="2"/>
        <scheme val="minor"/>
      </font>
    </dxf>
    <dxf>
      <font>
        <b val="0"/>
        <i/>
        <sz val="11"/>
        <name val="Calibri"/>
        <family val="2"/>
        <scheme val="minor"/>
      </font>
      <fill>
        <patternFill patternType="solid">
          <fgColor theme="0"/>
          <bgColor rgb="FFAE6534"/>
        </patternFill>
      </fill>
      <border>
        <left style="thin">
          <color theme="1" tint="-0.499984740745262"/>
        </left>
        <right style="thin">
          <color theme="1" tint="-0.499984740745262"/>
        </right>
        <top style="thin">
          <color theme="1" tint="-0.499984740745262"/>
        </top>
        <bottom style="thin">
          <color theme="1" tint="-0.499984740745262"/>
        </bottom>
      </border>
    </dxf>
  </dxfs>
  <tableStyles count="5" defaultTableStyle="TableStyleMedium2" defaultPivotStyle="PivotStyleMedium9">
    <tableStyle name="Coffee" pivot="0" table="0" count="9" xr9:uid="{1B2AA02C-3480-46DB-8E94-244770568DDE}">
      <tableStyleElement type="wholeTable" dxfId="36"/>
      <tableStyleElement type="headerRow" dxfId="35"/>
    </tableStyle>
    <tableStyle name="Slicer Style 1" pivot="0" table="0" count="8" xr9:uid="{C6298849-5998-4E8A-ABA9-1ACC83793EDA}">
      <tableStyleElement type="wholeTable" dxfId="34"/>
      <tableStyleElement type="headerRow" dxfId="33"/>
    </tableStyle>
    <tableStyle name="Slicer Style 2" pivot="0" table="0" count="1" xr9:uid="{820B798A-F5C8-4C71-8750-72F1F87129C9}">
      <tableStyleElement type="headerRow" dxfId="32"/>
    </tableStyle>
    <tableStyle name="Timeline Style 1" pivot="0" table="0" count="8" xr9:uid="{1FA0DEB1-907A-4D22-8052-49C5FAF4D3A6}">
      <tableStyleElement type="wholeTable" dxfId="31"/>
      <tableStyleElement type="headerRow" dxfId="30"/>
    </tableStyle>
    <tableStyle name="Timeline Style 2" pivot="0" table="0" count="8" xr9:uid="{BF07CB29-F111-421C-9983-E30EA56A72AB}">
      <tableStyleElement type="wholeTable" dxfId="29"/>
      <tableStyleElement type="headerRow" dxfId="28"/>
    </tableStyle>
  </tableStyles>
  <colors>
    <mruColors>
      <color rgb="FFAE6534"/>
      <color rgb="FF00AC4E"/>
      <color rgb="FF9BFFC8"/>
      <color rgb="FF00C85A"/>
      <color rgb="FF00863D"/>
      <color rgb="FF00DE64"/>
      <color rgb="FFECD3BF"/>
      <color rgb="FFCC3300"/>
      <color rgb="FFCC6600"/>
      <color rgb="FFC1B681"/>
    </mruColors>
  </colors>
  <extLst>
    <ext xmlns:x14="http://schemas.microsoft.com/office/spreadsheetml/2009/9/main" uri="{46F421CA-312F-682f-3DD2-61675219B42D}">
      <x14:dxfs count="6">
        <dxf>
          <font>
            <b/>
            <i val="0"/>
            <sz val="14"/>
            <color theme="0"/>
            <name val="Calibri"/>
            <family val="2"/>
            <scheme val="minor"/>
          </font>
        </dxf>
        <dxf>
          <font>
            <b/>
            <i val="0"/>
            <sz val="14"/>
            <color theme="0"/>
            <name val="Calibri"/>
            <family val="2"/>
            <scheme val="minor"/>
          </font>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 name="Slicer Style 2"/>
      </x14:slicerStyles>
    </ext>
    <ext xmlns:x15="http://schemas.microsoft.com/office/spreadsheetml/2010/11/main" uri="{A0A4C193-F2C1-4fcb-8827-314CF55A85BB}">
      <x15:dxfs count="19">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CC6600"/>
            </patternFill>
          </fill>
        </dxf>
        <dxf>
          <fill>
            <patternFill patternType="solid">
              <fgColor theme="0" tint="-0.14993743705557422"/>
              <bgColor rgb="FFC1B681"/>
            </patternFill>
          </fill>
          <border>
            <left style="thin">
              <color auto="1"/>
            </left>
            <right style="thin">
              <color auto="1"/>
            </right>
            <top style="thin">
              <color auto="1"/>
            </top>
            <bottom style="thin">
              <color auto="1"/>
            </bottom>
          </border>
        </dxf>
        <dxf>
          <fill>
            <patternFill patternType="solid">
              <fgColor theme="0"/>
              <bgColor rgb="FFCC3300"/>
            </patternFill>
          </fill>
        </dxf>
        <dxf>
          <font>
            <b val="0"/>
            <i val="0"/>
            <sz val="9"/>
            <color theme="0"/>
            <name val="Calibri"/>
            <family val="2"/>
            <scheme val="minor"/>
          </font>
        </dxf>
        <dxf>
          <font>
            <b val="0"/>
            <i val="0"/>
            <sz val="9"/>
            <color theme="0"/>
            <name val="Calibri"/>
            <family val="2"/>
            <scheme val="minor"/>
          </font>
        </dxf>
        <dxf>
          <font>
            <b val="0"/>
            <i val="0"/>
            <sz val="9"/>
            <color theme="0"/>
            <name val="Calibri"/>
            <family val="2"/>
            <scheme val="minor"/>
          </font>
        </dxf>
        <dxf>
          <font>
            <b val="0"/>
            <i val="0"/>
            <sz val="9"/>
            <color theme="0"/>
            <name val="Calibri"/>
            <family val="2"/>
            <scheme val="minor"/>
          </font>
        </dxf>
      </x15:dxfs>
    </ext>
    <ext xmlns:x15="http://schemas.microsoft.com/office/spreadsheetml/2010/11/main" uri="{9260A510-F301-46a8-8635-F512D64BE5F5}">
      <x15:timelineStyles defaultTimelineStyle="TimeSlicerStyleLight1">
        <x15:timelineStyle name="Coffee">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[coffeeSalesDashboard.xlsx]TotalSales!TotalSales</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Total Sale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4868291185051"/>
          <c:y val="0.18075048732943472"/>
          <c:w val="0.70124342918138016"/>
          <c:h val="0.59999232552071347"/>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68.655000000000001</c:v>
                </c:pt>
                <c:pt idx="1">
                  <c:v>148.92499999999998</c:v>
                </c:pt>
                <c:pt idx="2">
                  <c:v>137.19499999999999</c:v>
                </c:pt>
                <c:pt idx="3">
                  <c:v>155.24999999999997</c:v>
                </c:pt>
                <c:pt idx="4">
                  <c:v>29.784999999999997</c:v>
                </c:pt>
                <c:pt idx="5">
                  <c:v>155.24999999999997</c:v>
                </c:pt>
                <c:pt idx="6">
                  <c:v>272.43499999999995</c:v>
                </c:pt>
                <c:pt idx="7">
                  <c:v>226.54999999999995</c:v>
                </c:pt>
                <c:pt idx="8">
                  <c:v>178.70999999999998</c:v>
                </c:pt>
                <c:pt idx="9">
                  <c:v>100.50999999999999</c:v>
                </c:pt>
                <c:pt idx="10">
                  <c:v>178.70999999999998</c:v>
                </c:pt>
                <c:pt idx="11">
                  <c:v>155.24999999999997</c:v>
                </c:pt>
                <c:pt idx="13">
                  <c:v>678.38499999999999</c:v>
                </c:pt>
                <c:pt idx="16">
                  <c:v>77.624999999999986</c:v>
                </c:pt>
                <c:pt idx="17">
                  <c:v>473.33999999999992</c:v>
                </c:pt>
                <c:pt idx="18">
                  <c:v>297.84999999999997</c:v>
                </c:pt>
                <c:pt idx="20">
                  <c:v>91.539999999999992</c:v>
                </c:pt>
                <c:pt idx="21">
                  <c:v>198.02999999999997</c:v>
                </c:pt>
                <c:pt idx="22">
                  <c:v>476.32999999999993</c:v>
                </c:pt>
                <c:pt idx="24">
                  <c:v>77.624999999999986</c:v>
                </c:pt>
                <c:pt idx="25">
                  <c:v>217.92499999999995</c:v>
                </c:pt>
                <c:pt idx="26">
                  <c:v>268.06499999999994</c:v>
                </c:pt>
                <c:pt idx="28">
                  <c:v>103.49999999999999</c:v>
                </c:pt>
                <c:pt idx="29">
                  <c:v>240.80999999999997</c:v>
                </c:pt>
                <c:pt idx="31">
                  <c:v>141.10499999999999</c:v>
                </c:pt>
                <c:pt idx="32">
                  <c:v>629.27999999999986</c:v>
                </c:pt>
                <c:pt idx="33">
                  <c:v>166.17499999999998</c:v>
                </c:pt>
                <c:pt idx="34">
                  <c:v>137.31</c:v>
                </c:pt>
                <c:pt idx="35">
                  <c:v>178.70999999999998</c:v>
                </c:pt>
                <c:pt idx="36">
                  <c:v>51.749999999999993</c:v>
                </c:pt>
                <c:pt idx="38">
                  <c:v>148.92499999999998</c:v>
                </c:pt>
                <c:pt idx="39">
                  <c:v>51.749999999999993</c:v>
                </c:pt>
                <c:pt idx="40">
                  <c:v>71.644999999999996</c:v>
                </c:pt>
                <c:pt idx="42">
                  <c:v>195.95999999999998</c:v>
                </c:pt>
                <c:pt idx="43">
                  <c:v>29.784999999999997</c:v>
                </c:pt>
              </c:numCache>
            </c:numRef>
          </c:val>
          <c:smooth val="0"/>
          <c:extLst>
            <c:ext xmlns:c16="http://schemas.microsoft.com/office/drawing/2014/chart" uri="{C3380CC4-5D6E-409C-BE32-E72D297353CC}">
              <c16:uniqueId val="{00000005-FBAB-4595-8579-09E897CED5B5}"/>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111.78</c:v>
                </c:pt>
                <c:pt idx="2">
                  <c:v>230.92000000000002</c:v>
                </c:pt>
                <c:pt idx="3">
                  <c:v>512.32499999999993</c:v>
                </c:pt>
                <c:pt idx="5">
                  <c:v>626.17499999999995</c:v>
                </c:pt>
                <c:pt idx="6">
                  <c:v>204.92999999999995</c:v>
                </c:pt>
                <c:pt idx="9">
                  <c:v>96.254999999999995</c:v>
                </c:pt>
                <c:pt idx="10">
                  <c:v>63.249999999999993</c:v>
                </c:pt>
                <c:pt idx="11">
                  <c:v>444.01499999999987</c:v>
                </c:pt>
                <c:pt idx="13">
                  <c:v>227.24</c:v>
                </c:pt>
                <c:pt idx="14">
                  <c:v>62.099999999999994</c:v>
                </c:pt>
                <c:pt idx="15">
                  <c:v>252.99999999999997</c:v>
                </c:pt>
                <c:pt idx="16">
                  <c:v>472.88</c:v>
                </c:pt>
                <c:pt idx="17">
                  <c:v>165.71499999999997</c:v>
                </c:pt>
                <c:pt idx="18">
                  <c:v>31.624999999999996</c:v>
                </c:pt>
                <c:pt idx="21">
                  <c:v>254.60999999999999</c:v>
                </c:pt>
                <c:pt idx="22">
                  <c:v>111.78</c:v>
                </c:pt>
                <c:pt idx="23">
                  <c:v>171.35</c:v>
                </c:pt>
                <c:pt idx="24">
                  <c:v>31.624999999999996</c:v>
                </c:pt>
                <c:pt idx="25">
                  <c:v>139.72499999999999</c:v>
                </c:pt>
                <c:pt idx="26">
                  <c:v>194.80999999999997</c:v>
                </c:pt>
                <c:pt idx="27">
                  <c:v>147.08500000000001</c:v>
                </c:pt>
                <c:pt idx="30">
                  <c:v>189.74999999999997</c:v>
                </c:pt>
                <c:pt idx="31">
                  <c:v>111.78</c:v>
                </c:pt>
                <c:pt idx="32">
                  <c:v>83.835000000000008</c:v>
                </c:pt>
                <c:pt idx="33">
                  <c:v>187.45</c:v>
                </c:pt>
                <c:pt idx="34">
                  <c:v>297.84999999999997</c:v>
                </c:pt>
                <c:pt idx="37">
                  <c:v>55.89</c:v>
                </c:pt>
                <c:pt idx="38">
                  <c:v>102.46499999999997</c:v>
                </c:pt>
                <c:pt idx="39">
                  <c:v>164.56499999999997</c:v>
                </c:pt>
                <c:pt idx="40">
                  <c:v>126.49999999999999</c:v>
                </c:pt>
                <c:pt idx="41">
                  <c:v>359.37499999999994</c:v>
                </c:pt>
                <c:pt idx="42">
                  <c:v>158.12499999999997</c:v>
                </c:pt>
              </c:numCache>
            </c:numRef>
          </c:val>
          <c:smooth val="0"/>
          <c:extLst>
            <c:ext xmlns:c16="http://schemas.microsoft.com/office/drawing/2014/chart" uri="{C3380CC4-5D6E-409C-BE32-E72D297353CC}">
              <c16:uniqueId val="{00000007-FBAB-4595-8579-09E897CED5B5}"/>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36.454999999999998</c:v>
                </c:pt>
                <c:pt idx="1">
                  <c:v>271.74499999999995</c:v>
                </c:pt>
                <c:pt idx="2">
                  <c:v>133.85999999999999</c:v>
                </c:pt>
                <c:pt idx="3">
                  <c:v>316.13499999999999</c:v>
                </c:pt>
                <c:pt idx="4">
                  <c:v>145.82</c:v>
                </c:pt>
                <c:pt idx="5">
                  <c:v>89.35499999999999</c:v>
                </c:pt>
                <c:pt idx="8">
                  <c:v>273.69999999999993</c:v>
                </c:pt>
                <c:pt idx="9">
                  <c:v>109.36499999999999</c:v>
                </c:pt>
                <c:pt idx="10">
                  <c:v>272.32</c:v>
                </c:pt>
                <c:pt idx="12">
                  <c:v>189.05999999999997</c:v>
                </c:pt>
                <c:pt idx="13">
                  <c:v>89.35499999999999</c:v>
                </c:pt>
                <c:pt idx="14">
                  <c:v>148.92499999999998</c:v>
                </c:pt>
                <c:pt idx="15">
                  <c:v>33.464999999999996</c:v>
                </c:pt>
                <c:pt idx="16">
                  <c:v>33.464999999999996</c:v>
                </c:pt>
                <c:pt idx="17">
                  <c:v>192.04999999999998</c:v>
                </c:pt>
                <c:pt idx="18">
                  <c:v>36.454999999999998</c:v>
                </c:pt>
                <c:pt idx="21">
                  <c:v>238.27999999999997</c:v>
                </c:pt>
                <c:pt idx="22">
                  <c:v>228.505</c:v>
                </c:pt>
                <c:pt idx="24">
                  <c:v>29.784999999999997</c:v>
                </c:pt>
                <c:pt idx="25">
                  <c:v>139.83999999999997</c:v>
                </c:pt>
                <c:pt idx="26">
                  <c:v>228.505</c:v>
                </c:pt>
                <c:pt idx="27">
                  <c:v>401.005</c:v>
                </c:pt>
                <c:pt idx="28">
                  <c:v>148.92499999999998</c:v>
                </c:pt>
                <c:pt idx="29">
                  <c:v>148.92499999999998</c:v>
                </c:pt>
                <c:pt idx="33">
                  <c:v>251.61999999999998</c:v>
                </c:pt>
                <c:pt idx="34">
                  <c:v>119.13999999999999</c:v>
                </c:pt>
                <c:pt idx="35">
                  <c:v>212.75</c:v>
                </c:pt>
                <c:pt idx="36">
                  <c:v>625.71499999999992</c:v>
                </c:pt>
                <c:pt idx="37">
                  <c:v>36.454999999999998</c:v>
                </c:pt>
                <c:pt idx="38">
                  <c:v>296.125</c:v>
                </c:pt>
                <c:pt idx="40">
                  <c:v>163.64499999999998</c:v>
                </c:pt>
                <c:pt idx="41">
                  <c:v>145.82</c:v>
                </c:pt>
                <c:pt idx="42">
                  <c:v>178.70999999999998</c:v>
                </c:pt>
              </c:numCache>
            </c:numRef>
          </c:val>
          <c:smooth val="0"/>
          <c:extLst>
            <c:ext xmlns:c16="http://schemas.microsoft.com/office/drawing/2014/chart" uri="{C3380CC4-5D6E-409C-BE32-E72D297353CC}">
              <c16:uniqueId val="{00000001-CC5D-4E36-90A7-2F33BA6B7ADD}"/>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1">
                  <c:v>41.169999999999995</c:v>
                </c:pt>
                <c:pt idx="3">
                  <c:v>54.969999999999992</c:v>
                </c:pt>
                <c:pt idx="5">
                  <c:v>219.76499999999999</c:v>
                </c:pt>
                <c:pt idx="6">
                  <c:v>123.50999999999999</c:v>
                </c:pt>
                <c:pt idx="7">
                  <c:v>68.655000000000001</c:v>
                </c:pt>
                <c:pt idx="8">
                  <c:v>361.55999999999995</c:v>
                </c:pt>
                <c:pt idx="11">
                  <c:v>130.52499999999998</c:v>
                </c:pt>
                <c:pt idx="12">
                  <c:v>27.484999999999996</c:v>
                </c:pt>
                <c:pt idx="13">
                  <c:v>357.30499999999995</c:v>
                </c:pt>
                <c:pt idx="14">
                  <c:v>137.31</c:v>
                </c:pt>
                <c:pt idx="15">
                  <c:v>196.76499999999999</c:v>
                </c:pt>
                <c:pt idx="16">
                  <c:v>41.169999999999995</c:v>
                </c:pt>
                <c:pt idx="17">
                  <c:v>132.82499999999999</c:v>
                </c:pt>
                <c:pt idx="18">
                  <c:v>247.01999999999995</c:v>
                </c:pt>
                <c:pt idx="19">
                  <c:v>41.169999999999995</c:v>
                </c:pt>
                <c:pt idx="20">
                  <c:v>155.70999999999998</c:v>
                </c:pt>
                <c:pt idx="21">
                  <c:v>109.93999999999998</c:v>
                </c:pt>
                <c:pt idx="22">
                  <c:v>27.484999999999996</c:v>
                </c:pt>
                <c:pt idx="23">
                  <c:v>45.769999999999996</c:v>
                </c:pt>
                <c:pt idx="24">
                  <c:v>91.539999999999992</c:v>
                </c:pt>
                <c:pt idx="27">
                  <c:v>82.339999999999989</c:v>
                </c:pt>
                <c:pt idx="28">
                  <c:v>192.39499999999995</c:v>
                </c:pt>
                <c:pt idx="29">
                  <c:v>61.754999999999995</c:v>
                </c:pt>
                <c:pt idx="30">
                  <c:v>109.93999999999998</c:v>
                </c:pt>
                <c:pt idx="31">
                  <c:v>196.76499999999999</c:v>
                </c:pt>
                <c:pt idx="32">
                  <c:v>109.93999999999998</c:v>
                </c:pt>
                <c:pt idx="33">
                  <c:v>91.539999999999992</c:v>
                </c:pt>
                <c:pt idx="34">
                  <c:v>68.655000000000001</c:v>
                </c:pt>
                <c:pt idx="35">
                  <c:v>137.42499999999998</c:v>
                </c:pt>
                <c:pt idx="36">
                  <c:v>45.769999999999996</c:v>
                </c:pt>
                <c:pt idx="38">
                  <c:v>288.4199999999999</c:v>
                </c:pt>
                <c:pt idx="39">
                  <c:v>102.92499999999998</c:v>
                </c:pt>
                <c:pt idx="40">
                  <c:v>164.67999999999998</c:v>
                </c:pt>
                <c:pt idx="41">
                  <c:v>308.89</c:v>
                </c:pt>
                <c:pt idx="42">
                  <c:v>45.769999999999996</c:v>
                </c:pt>
              </c:numCache>
            </c:numRef>
          </c:val>
          <c:smooth val="0"/>
          <c:extLst>
            <c:ext xmlns:c16="http://schemas.microsoft.com/office/drawing/2014/chart" uri="{C3380CC4-5D6E-409C-BE32-E72D297353CC}">
              <c16:uniqueId val="{00000000-A3E9-46F6-B5BE-8D32ED6BAFF9}"/>
            </c:ext>
          </c:extLst>
        </c:ser>
        <c:dLbls>
          <c:showLegendKey val="0"/>
          <c:showVal val="0"/>
          <c:showCatName val="0"/>
          <c:showSerName val="0"/>
          <c:showPercent val="0"/>
          <c:showBubbleSize val="0"/>
        </c:dLbls>
        <c:smooth val="0"/>
        <c:axId val="581534399"/>
        <c:axId val="581535359"/>
      </c:lineChart>
      <c:catAx>
        <c:axId val="58153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1535359"/>
        <c:crosses val="autoZero"/>
        <c:auto val="1"/>
        <c:lblAlgn val="ctr"/>
        <c:lblOffset val="100"/>
        <c:noMultiLvlLbl val="0"/>
      </c:catAx>
      <c:valAx>
        <c:axId val="58153535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15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D3B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[coffeeSalesDashboard.xlsx]CountryBarChart!TotalSales</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863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63D"/>
          </a:solidFill>
          <a:ln w="25400">
            <a:solidFill>
              <a:schemeClr val="bg1"/>
            </a:solidFill>
          </a:ln>
          <a:effectLst/>
        </c:spPr>
      </c:pivotFmt>
      <c:pivotFmt>
        <c:idx val="2"/>
        <c:spPr>
          <a:solidFill>
            <a:srgbClr val="00863D"/>
          </a:solidFill>
          <a:ln w="25400">
            <a:solidFill>
              <a:schemeClr val="bg1"/>
            </a:solidFill>
          </a:ln>
          <a:effectLst/>
        </c:spPr>
      </c:pivotFmt>
      <c:pivotFmt>
        <c:idx val="3"/>
        <c:spPr>
          <a:solidFill>
            <a:srgbClr val="00863D"/>
          </a:solidFill>
          <a:ln w="25400">
            <a:solidFill>
              <a:schemeClr val="bg1"/>
            </a:solidFill>
          </a:ln>
          <a:effectLst/>
        </c:spPr>
      </c:pivotFmt>
      <c:pivotFmt>
        <c:idx val="4"/>
        <c:spPr>
          <a:solidFill>
            <a:srgbClr val="00863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63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5454075325607"/>
          <c:y val="0.17634259259259263"/>
          <c:w val="0.78053988190747414"/>
          <c:h val="0.72088764946048411"/>
        </c:manualLayout>
      </c:layout>
      <c:barChart>
        <c:barDir val="bar"/>
        <c:grouping val="clustered"/>
        <c:varyColors val="0"/>
        <c:ser>
          <c:idx val="0"/>
          <c:order val="0"/>
          <c:tx>
            <c:strRef>
              <c:f>CountryBarChart!$B$3</c:f>
              <c:strCache>
                <c:ptCount val="1"/>
                <c:pt idx="0">
                  <c:v>Total</c:v>
                </c:pt>
              </c:strCache>
            </c:strRef>
          </c:tx>
          <c:spPr>
            <a:solidFill>
              <a:srgbClr val="00863D"/>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1173.92</c:v>
                </c:pt>
                <c:pt idx="1">
                  <c:v>3570.29</c:v>
                </c:pt>
                <c:pt idx="2">
                  <c:v>19041.354999999992</c:v>
                </c:pt>
              </c:numCache>
            </c:numRef>
          </c:val>
          <c:extLst>
            <c:ext xmlns:c16="http://schemas.microsoft.com/office/drawing/2014/chart" uri="{C3380CC4-5D6E-409C-BE32-E72D297353CC}">
              <c16:uniqueId val="{00000000-E63F-4CDA-9BA4-614A4587876E}"/>
            </c:ext>
          </c:extLst>
        </c:ser>
        <c:dLbls>
          <c:dLblPos val="outEnd"/>
          <c:showLegendKey val="0"/>
          <c:showVal val="1"/>
          <c:showCatName val="0"/>
          <c:showSerName val="0"/>
          <c:showPercent val="0"/>
          <c:showBubbleSize val="0"/>
        </c:dLbls>
        <c:gapWidth val="182"/>
        <c:axId val="1159847935"/>
        <c:axId val="1159831615"/>
      </c:barChart>
      <c:catAx>
        <c:axId val="115984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9831615"/>
        <c:crosses val="autoZero"/>
        <c:auto val="1"/>
        <c:lblAlgn val="ctr"/>
        <c:lblOffset val="100"/>
        <c:noMultiLvlLbl val="0"/>
      </c:catAx>
      <c:valAx>
        <c:axId val="1159831615"/>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984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D3BF"/>
    </a:solidFill>
    <a:ln w="9525" cap="flat" cmpd="sng" algn="ctr">
      <a:solidFill>
        <a:schemeClr val="bg1">
          <a:alpha val="98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[coffeeSalesDashboard.xlsx]Top5Customers!TotalSales</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a:t>
            </a:r>
            <a:r>
              <a:rPr lang="en-US" b="1" baseline="0"/>
              <a:t> 5 Customers</a:t>
            </a:r>
            <a:endParaRPr lang="en-US" b="1"/>
          </a:p>
        </c:rich>
      </c:tx>
      <c:layout>
        <c:manualLayout>
          <c:xMode val="edge"/>
          <c:yMode val="edge"/>
          <c:x val="0.37385870222872813"/>
          <c:y val="7.60581970973317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863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63D"/>
          </a:solidFill>
          <a:ln w="25400">
            <a:solidFill>
              <a:schemeClr val="bg1"/>
            </a:solidFill>
          </a:ln>
          <a:effectLst/>
        </c:spPr>
      </c:pivotFmt>
      <c:pivotFmt>
        <c:idx val="2"/>
        <c:spPr>
          <a:solidFill>
            <a:srgbClr val="00863D"/>
          </a:solidFill>
          <a:ln w="25400">
            <a:solidFill>
              <a:schemeClr val="bg1"/>
            </a:solidFill>
          </a:ln>
          <a:effectLst/>
        </c:spPr>
      </c:pivotFmt>
      <c:pivotFmt>
        <c:idx val="3"/>
        <c:spPr>
          <a:solidFill>
            <a:srgbClr val="00863D"/>
          </a:solidFill>
          <a:ln w="25400">
            <a:solidFill>
              <a:schemeClr val="bg1"/>
            </a:solidFill>
          </a:ln>
          <a:effectLst/>
        </c:spPr>
      </c:pivotFmt>
      <c:pivotFmt>
        <c:idx val="4"/>
        <c:spPr>
          <a:solidFill>
            <a:srgbClr val="00863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63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63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5454075325607"/>
          <c:y val="0.17634259259259263"/>
          <c:w val="0.78053988190747414"/>
          <c:h val="0.72088764946048411"/>
        </c:manualLayout>
      </c:layout>
      <c:barChart>
        <c:barDir val="bar"/>
        <c:grouping val="clustered"/>
        <c:varyColors val="0"/>
        <c:ser>
          <c:idx val="0"/>
          <c:order val="0"/>
          <c:tx>
            <c:strRef>
              <c:f>Top5Customers!$B$3</c:f>
              <c:strCache>
                <c:ptCount val="1"/>
                <c:pt idx="0">
                  <c:v>Total</c:v>
                </c:pt>
              </c:strCache>
            </c:strRef>
          </c:tx>
          <c:spPr>
            <a:solidFill>
              <a:srgbClr val="00863D"/>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Top5Customers!$A$4:$A$12</c:f>
              <c:strCache>
                <c:ptCount val="9"/>
                <c:pt idx="0">
                  <c:v>Elysee Sketch</c:v>
                </c:pt>
                <c:pt idx="1">
                  <c:v>Lacee Tanti</c:v>
                </c:pt>
                <c:pt idx="2">
                  <c:v>Teddi Crowthe</c:v>
                </c:pt>
                <c:pt idx="3">
                  <c:v>Nanny Lush</c:v>
                </c:pt>
                <c:pt idx="4">
                  <c:v>Daniel Heinonen</c:v>
                </c:pt>
                <c:pt idx="5">
                  <c:v>Shelli Keynd</c:v>
                </c:pt>
                <c:pt idx="6">
                  <c:v>Alexa Sizey</c:v>
                </c:pt>
                <c:pt idx="7">
                  <c:v>Allis Wilmore</c:v>
                </c:pt>
                <c:pt idx="8">
                  <c:v>Brenn Dundredge</c:v>
                </c:pt>
              </c:strCache>
            </c:strRef>
          </c:cat>
          <c:val>
            <c:numRef>
              <c:f>Top5Customers!$B$4:$B$12</c:f>
              <c:numCache>
                <c:formatCode>"$"#,##0</c:formatCode>
                <c:ptCount val="9"/>
                <c:pt idx="0">
                  <c:v>204.92999999999995</c:v>
                </c:pt>
                <c:pt idx="1">
                  <c:v>204.92999999999995</c:v>
                </c:pt>
                <c:pt idx="2">
                  <c:v>204.92999999999995</c:v>
                </c:pt>
                <c:pt idx="3">
                  <c:v>204.92999999999995</c:v>
                </c:pt>
                <c:pt idx="4">
                  <c:v>204.92999999999995</c:v>
                </c:pt>
                <c:pt idx="5">
                  <c:v>204.92999999999995</c:v>
                </c:pt>
                <c:pt idx="6">
                  <c:v>218.73</c:v>
                </c:pt>
                <c:pt idx="7">
                  <c:v>237.81999999999996</c:v>
                </c:pt>
                <c:pt idx="8">
                  <c:v>253.68999999999997</c:v>
                </c:pt>
              </c:numCache>
            </c:numRef>
          </c:val>
          <c:extLst>
            <c:ext xmlns:c16="http://schemas.microsoft.com/office/drawing/2014/chart" uri="{C3380CC4-5D6E-409C-BE32-E72D297353CC}">
              <c16:uniqueId val="{00000000-30C2-437A-B17C-CFF8D24BE33D}"/>
            </c:ext>
          </c:extLst>
        </c:ser>
        <c:dLbls>
          <c:dLblPos val="outEnd"/>
          <c:showLegendKey val="0"/>
          <c:showVal val="1"/>
          <c:showCatName val="0"/>
          <c:showSerName val="0"/>
          <c:showPercent val="0"/>
          <c:showBubbleSize val="0"/>
        </c:dLbls>
        <c:gapWidth val="182"/>
        <c:axId val="1159847935"/>
        <c:axId val="1159831615"/>
      </c:barChart>
      <c:catAx>
        <c:axId val="115984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9831615"/>
        <c:crosses val="autoZero"/>
        <c:auto val="1"/>
        <c:lblAlgn val="ctr"/>
        <c:lblOffset val="100"/>
        <c:noMultiLvlLbl val="0"/>
      </c:catAx>
      <c:valAx>
        <c:axId val="1159831615"/>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984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D3BF"/>
    </a:solidFill>
    <a:ln w="9525" cap="flat" cmpd="sng" algn="ctr">
      <a:solidFill>
        <a:schemeClr val="bg1">
          <a:alpha val="98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22860</xdr:rowOff>
    </xdr:from>
    <xdr:to>
      <xdr:col>26</xdr:col>
      <xdr:colOff>0</xdr:colOff>
      <xdr:row>5</xdr:row>
      <xdr:rowOff>0</xdr:rowOff>
    </xdr:to>
    <xdr:sp macro="" textlink="">
      <xdr:nvSpPr>
        <xdr:cNvPr id="3" name="Rectangle 2">
          <a:extLst>
            <a:ext uri="{FF2B5EF4-FFF2-40B4-BE49-F238E27FC236}">
              <a16:creationId xmlns:a16="http://schemas.microsoft.com/office/drawing/2014/main" id="{25484D25-82F5-7127-82C9-1412E9D932AE}"/>
            </a:ext>
          </a:extLst>
        </xdr:cNvPr>
        <xdr:cNvSpPr/>
      </xdr:nvSpPr>
      <xdr:spPr>
        <a:xfrm>
          <a:off x="129540" y="83820"/>
          <a:ext cx="15918180" cy="708660"/>
        </a:xfrm>
        <a:prstGeom prst="rect">
          <a:avLst/>
        </a:prstGeom>
        <a:solidFill>
          <a:srgbClr val="AE6534"/>
        </a:solidFill>
        <a:ln>
          <a:solidFill>
            <a:srgbClr val="AE653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 DASHBOARD</a:t>
          </a:r>
          <a:endParaRPr lang="en-US" sz="4800">
            <a:solidFill>
              <a:schemeClr val="bg1"/>
            </a:solidFill>
          </a:endParaRPr>
        </a:p>
      </xdr:txBody>
    </xdr:sp>
    <xdr:clientData/>
  </xdr:twoCellAnchor>
  <xdr:twoCellAnchor>
    <xdr:from>
      <xdr:col>1</xdr:col>
      <xdr:colOff>0</xdr:colOff>
      <xdr:row>17</xdr:row>
      <xdr:rowOff>1</xdr:rowOff>
    </xdr:from>
    <xdr:to>
      <xdr:col>15</xdr:col>
      <xdr:colOff>0</xdr:colOff>
      <xdr:row>37</xdr:row>
      <xdr:rowOff>1</xdr:rowOff>
    </xdr:to>
    <xdr:graphicFrame macro="">
      <xdr:nvGraphicFramePr>
        <xdr:cNvPr id="4" name="Chart 3">
          <a:extLst>
            <a:ext uri="{FF2B5EF4-FFF2-40B4-BE49-F238E27FC236}">
              <a16:creationId xmlns:a16="http://schemas.microsoft.com/office/drawing/2014/main" id="{57DB5560-3614-4807-809B-235AE1570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116477</xdr:colOff>
      <xdr:row>5</xdr:row>
      <xdr:rowOff>63135</xdr:rowOff>
    </xdr:from>
    <xdr:to>
      <xdr:col>18</xdr:col>
      <xdr:colOff>0</xdr:colOff>
      <xdr:row>16</xdr:row>
      <xdr:rowOff>-1</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27BFB20E-2221-461F-B2D7-757F57A5225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6477" y="868678"/>
              <a:ext cx="10573294" cy="17330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595E1B1D-D16B-4601-83D6-008C42842E2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809514" y="870857"/>
              <a:ext cx="3777343" cy="740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1</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E7F3BD8B-C8C6-42AC-AD28-F46B5B4269D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809514" y="1676401"/>
              <a:ext cx="1828800" cy="925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21773</xdr:rowOff>
    </xdr:from>
    <xdr:to>
      <xdr:col>26</xdr:col>
      <xdr:colOff>0</xdr:colOff>
      <xdr:row>16</xdr:row>
      <xdr:rowOff>1</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48143EC0-4D07-4FFF-9047-11FD30E1EC9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758057" y="1698173"/>
              <a:ext cx="1828800" cy="903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1</xdr:rowOff>
    </xdr:from>
    <xdr:to>
      <xdr:col>26</xdr:col>
      <xdr:colOff>0</xdr:colOff>
      <xdr:row>27</xdr:row>
      <xdr:rowOff>0</xdr:rowOff>
    </xdr:to>
    <xdr:graphicFrame macro="">
      <xdr:nvGraphicFramePr>
        <xdr:cNvPr id="9" name="Chart 8">
          <a:extLst>
            <a:ext uri="{FF2B5EF4-FFF2-40B4-BE49-F238E27FC236}">
              <a16:creationId xmlns:a16="http://schemas.microsoft.com/office/drawing/2014/main" id="{F52F8447-F799-4EFB-AD35-EFC0D5446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0</xdr:rowOff>
    </xdr:from>
    <xdr:to>
      <xdr:col>26</xdr:col>
      <xdr:colOff>0</xdr:colOff>
      <xdr:row>37</xdr:row>
      <xdr:rowOff>0</xdr:rowOff>
    </xdr:to>
    <xdr:graphicFrame macro="">
      <xdr:nvGraphicFramePr>
        <xdr:cNvPr id="10" name="Chart 9">
          <a:extLst>
            <a:ext uri="{FF2B5EF4-FFF2-40B4-BE49-F238E27FC236}">
              <a16:creationId xmlns:a16="http://schemas.microsoft.com/office/drawing/2014/main" id="{1D71073F-A76F-4548-9FF5-1012DF8A2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yo Ko" refreshedDate="46000.630337847222" createdVersion="8" refreshedVersion="8" minRefreshableVersion="3" recordCount="1000" xr:uid="{F1BCD92C-0DC1-496B-BA05-6E30E35D6786}">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83780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4320C1-D63F-4590-B6AD-05A29DF78D9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5">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 chart="8"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94636A-3A53-480A-80E7-8C3FD80F1FA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formats count="2">
    <format dxfId="27">
      <pivotArea outline="0" collapsedLevelsAreSubtotals="1" fieldPosition="0"/>
    </format>
    <format dxfId="26">
      <pivotArea outline="0" fieldPosition="0">
        <references count="1">
          <reference field="4294967294" count="1">
            <x v="0"/>
          </reference>
        </references>
      </pivotArea>
    </format>
  </formats>
  <chartFormats count="1">
    <chartFormat chart="19"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D5C3CF-C679-44B3-8C35-2F92D5E73DC6}"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12"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9">
    <i>
      <x v="289"/>
    </i>
    <i>
      <x v="518"/>
    </i>
    <i>
      <x v="826"/>
    </i>
    <i>
      <x v="639"/>
    </i>
    <i>
      <x v="218"/>
    </i>
    <i>
      <x v="785"/>
    </i>
    <i>
      <x v="20"/>
    </i>
    <i>
      <x v="28"/>
    </i>
    <i>
      <x v="125"/>
    </i>
  </rowItems>
  <colItems count="1">
    <i/>
  </colItems>
  <dataFields count="1">
    <dataField name="Sum of Sales" fld="12" baseField="0" baseItem="0" numFmtId="168"/>
  </dataFields>
  <formats count="2">
    <format dxfId="25">
      <pivotArea outline="0" collapsedLevelsAreSubtotals="1" fieldPosition="0"/>
    </format>
    <format dxfId="24">
      <pivotArea outline="0" fieldPosition="0">
        <references count="1">
          <reference field="4294967294" count="1">
            <x v="0"/>
          </reference>
        </references>
      </pivotArea>
    </format>
  </formats>
  <chartFormats count="4">
    <chartFormat chart="6"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6988E00-7A2D-4040-8550-00B7BDCEB2DE}" sourceName="Roast Type Name">
  <pivotTables>
    <pivotTable tabId="18" name="TotalSales"/>
    <pivotTable tabId="20" name="TotalSales"/>
    <pivotTable tabId="22" name="TotalSales"/>
  </pivotTables>
  <data>
    <tabular pivotCacheId="208378061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E9D3477-BF17-4779-B9AA-EDC3BD86284E}" sourceName="Size">
  <pivotTables>
    <pivotTable tabId="18" name="TotalSales"/>
    <pivotTable tabId="20" name="TotalSales"/>
    <pivotTable tabId="22" name="TotalSales"/>
  </pivotTables>
  <data>
    <tabular pivotCacheId="2083780611">
      <items count="4">
        <i x="3"/>
        <i x="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96CA1D0-8512-4B1E-BC9F-5CDEE571EB8B}" sourceName="Loyalty Card">
  <pivotTables>
    <pivotTable tabId="18" name="TotalSales"/>
    <pivotTable tabId="20" name="TotalSales"/>
    <pivotTable tabId="22" name="TotalSales"/>
  </pivotTables>
  <data>
    <tabular pivotCacheId="2083780611" sortOrder="descending">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25FC1E49-CC4D-486E-B26D-EB8FCDA97EF2}" cache="Slicer_Roast_Type_Name" caption="Roast Type Name" columnCount="3" style="Slicer Style 1" rowHeight="234950"/>
  <slicer name="Size" xr10:uid="{88B4F7DD-C999-4BED-A841-2A6713FB37FB}" cache="Slicer_Size" caption="Size" columnCount="2" style="Slicer Style 1" rowHeight="234950"/>
  <slicer name="Loyalty Card" xr10:uid="{B0FB2323-0744-4089-83C2-425C7C82A019}"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8B44DA-880F-49A0-83F5-6D36A5B5CFF7}" name="Orders" displayName="Orders" ref="A1:P1001" totalsRowShown="0" headerRowDxfId="23">
  <autoFilter ref="A1:P1001" xr:uid="{478B44DA-880F-49A0-83F5-6D36A5B5CFF7}"/>
  <tableColumns count="16">
    <tableColumn id="1" xr3:uid="{8DE7A699-D25D-4659-A614-D0BD0F90A32B}" name="Order ID" dataDxfId="22"/>
    <tableColumn id="2" xr3:uid="{0B2A4CDE-D28C-4893-B91F-922F571C099C}" name="Order Date" dataDxfId="21"/>
    <tableColumn id="3" xr3:uid="{6C11BB38-3C4C-44E3-9A85-ECBFD0DE82F1}" name="Customer ID" dataDxfId="20"/>
    <tableColumn id="4" xr3:uid="{4BFF7D85-3092-4CB3-B8DB-EBCEF7F26DA8}" name="Product ID"/>
    <tableColumn id="5" xr3:uid="{C7F9B17C-AA1A-415C-B24A-5C407EA301DC}" name="Quantity" dataDxfId="19"/>
    <tableColumn id="6" xr3:uid="{1B7C2692-4758-47F2-97B8-40FA05E152B6}" name="Customer Name" dataDxfId="18">
      <calculatedColumnFormula>_xlfn.XLOOKUP(orders!C2,customers!$A$1:$A$1001,customers!$B$1:$B$1001,0)</calculatedColumnFormula>
    </tableColumn>
    <tableColumn id="7" xr3:uid="{E9392F91-49CF-4D0F-8148-D8785D43F3AC}" name="Email" dataDxfId="17">
      <calculatedColumnFormula>IF(_xlfn.XLOOKUP(C2,customers!$A$1:$A$1001,customers!$C$1:$C$1001,0)=0,"",_xlfn.XLOOKUP(C2,customers!$A$1:$A$1001,customers!$C$1:$C$1001,0))</calculatedColumnFormula>
    </tableColumn>
    <tableColumn id="8" xr3:uid="{755331B8-9402-4447-99D7-578EB8BDB144}" name="Country" dataDxfId="16">
      <calculatedColumnFormula>_xlfn.XLOOKUP(C2,customers!$A$1:$A$1001,customers!$G$1:$G$1001,0)</calculatedColumnFormula>
    </tableColumn>
    <tableColumn id="9" xr3:uid="{8B2F16A6-0681-42A8-BFA2-E16E5A4EEF8D}" name="Coffee Type">
      <calculatedColumnFormula>INDEX(products!$A$1:$G$49,MATCH(orders!$D2,products!$A$1:$A$49,0),MATCH(orders!I$1,products!$A$1:$G$1,0))</calculatedColumnFormula>
    </tableColumn>
    <tableColumn id="10" xr3:uid="{22CB3EB4-C42E-4A04-A43E-2A0B466E895E}" name="Roast Type">
      <calculatedColumnFormula>INDEX(products!$A$1:$G$49,MATCH(orders!$D2,products!$A$1:$A$49,0),MATCH(orders!J$1,products!$A$1:$G$1,0))</calculatedColumnFormula>
    </tableColumn>
    <tableColumn id="11" xr3:uid="{E75A8EFF-36AA-4C0B-8300-09B9CEE771AD}" name="Size" dataDxfId="15">
      <calculatedColumnFormula>INDEX(products!$A$1:$G$49,MATCH(orders!$D2,products!$A$1:$A$49,0),MATCH(orders!K$1,products!$A$1:$G$1,0))</calculatedColumnFormula>
    </tableColumn>
    <tableColumn id="12" xr3:uid="{8A404217-253C-4472-9EE1-408B9FA54573}" name="Unit Price" dataDxfId="14">
      <calculatedColumnFormula>INDEX(products!$A$1:$G$49,MATCH(orders!$D2,products!$A$1:$A$49,0),MATCH(orders!L$1,products!$A$1:$G$1,0))</calculatedColumnFormula>
    </tableColumn>
    <tableColumn id="13" xr3:uid="{9AA5A18B-9C31-4D89-A38D-7A2EE6608EB0}" name="Sales" dataDxfId="13">
      <calculatedColumnFormula>L2*E2</calculatedColumnFormula>
    </tableColumn>
    <tableColumn id="14" xr3:uid="{441A4276-5CA9-47A9-91DF-72DF65F6C77C}" name="Coffee Type Name">
      <calculatedColumnFormula>IF(I2="Rob","Robusta",IF(I2="Exc","Excelsa",IF(I2="Ara","Arabica",IF(I2="Lib","Liberica",""))))</calculatedColumnFormula>
    </tableColumn>
    <tableColumn id="15" xr3:uid="{B6A172BE-2E7C-4BAD-BB1C-5997392B8061}" name="Roast Type Name">
      <calculatedColumnFormula>IF(J2="M","Medium",IF(J2="L","Light",IF(J2="D","Dark","")))</calculatedColumnFormula>
    </tableColumn>
    <tableColumn id="16" xr3:uid="{540A2147-8F11-4447-B44F-9AB6DA3C0564}" name="Loyalty Card" dataDxfId="1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14969CB-CC47-46EE-92F3-6D5EB056C8CF}" sourceName="Order Date">
  <pivotTables>
    <pivotTable tabId="18" name="TotalSales"/>
    <pivotTable tabId="20" name="TotalSales"/>
    <pivotTable tabId="22" name="TotalSales"/>
  </pivotTables>
  <state minimalRefreshVersion="6" lastRefreshVersion="6" pivotCacheId="208378061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66DAC68-1236-47E6-815D-908484E70D35}" cache="NativeTimeline_Order_Date" caption="Order Date" level="2" selectionLevel="2" scrollPosition="2019-01-01T00:00:00" style="Coffe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9BFC-1D35-439F-BBF8-E273266B89FF}">
  <dimension ref="A1:A29"/>
  <sheetViews>
    <sheetView tabSelected="1" topLeftCell="A13" zoomScale="115" zoomScaleNormal="115" workbookViewId="0">
      <selection activeCell="AF30" sqref="AF30"/>
    </sheetView>
  </sheetViews>
  <sheetFormatPr defaultRowHeight="14.4" x14ac:dyDescent="0.3"/>
  <cols>
    <col min="1" max="1" width="1.77734375" customWidth="1"/>
    <col min="2" max="2" width="11.6640625" bestFit="1" customWidth="1"/>
    <col min="3" max="3" width="14.77734375" bestFit="1" customWidth="1"/>
    <col min="4" max="4" width="12.21875" bestFit="1" customWidth="1"/>
    <col min="5" max="6" width="7.88671875" bestFit="1"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row r="18" ht="14.4" customHeight="1" x14ac:dyDescent="0.3"/>
    <row r="28" ht="4.95" customHeight="1" x14ac:dyDescent="0.3"/>
    <row r="29" ht="14.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4600A-0849-4311-A8E8-98AB93F82144}">
  <dimension ref="A3:F48"/>
  <sheetViews>
    <sheetView topLeftCell="A5" workbookViewId="0">
      <selection activeCell="T9" sqref="T9"/>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6209</v>
      </c>
      <c r="C3" s="6" t="s">
        <v>6196</v>
      </c>
    </row>
    <row r="4" spans="1:6" x14ac:dyDescent="0.3">
      <c r="A4" s="6" t="s">
        <v>6204</v>
      </c>
      <c r="B4" s="6" t="s">
        <v>6205</v>
      </c>
      <c r="C4" t="s">
        <v>6206</v>
      </c>
      <c r="D4" t="s">
        <v>6210</v>
      </c>
      <c r="E4" t="s">
        <v>6207</v>
      </c>
      <c r="F4" t="s">
        <v>6208</v>
      </c>
    </row>
    <row r="5" spans="1:6" x14ac:dyDescent="0.3">
      <c r="A5" t="s">
        <v>6198</v>
      </c>
      <c r="B5" t="s">
        <v>6215</v>
      </c>
      <c r="C5" s="7">
        <v>68.655000000000001</v>
      </c>
      <c r="D5" s="7">
        <v>111.78</v>
      </c>
      <c r="E5" s="7">
        <v>36.454999999999998</v>
      </c>
      <c r="F5" s="7"/>
    </row>
    <row r="6" spans="1:6" x14ac:dyDescent="0.3">
      <c r="B6" t="s">
        <v>6199</v>
      </c>
      <c r="C6" s="7">
        <v>148.92499999999998</v>
      </c>
      <c r="D6" s="7"/>
      <c r="E6" s="7">
        <v>271.74499999999995</v>
      </c>
      <c r="F6" s="7">
        <v>41.169999999999995</v>
      </c>
    </row>
    <row r="7" spans="1:6" x14ac:dyDescent="0.3">
      <c r="B7" t="s">
        <v>6211</v>
      </c>
      <c r="C7" s="7">
        <v>137.19499999999999</v>
      </c>
      <c r="D7" s="7">
        <v>230.92000000000002</v>
      </c>
      <c r="E7" s="7">
        <v>133.85999999999999</v>
      </c>
      <c r="F7" s="7"/>
    </row>
    <row r="8" spans="1:6" x14ac:dyDescent="0.3">
      <c r="B8" t="s">
        <v>6212</v>
      </c>
      <c r="C8" s="7">
        <v>155.24999999999997</v>
      </c>
      <c r="D8" s="7">
        <v>512.32499999999993</v>
      </c>
      <c r="E8" s="7">
        <v>316.13499999999999</v>
      </c>
      <c r="F8" s="7">
        <v>54.969999999999992</v>
      </c>
    </row>
    <row r="9" spans="1:6" x14ac:dyDescent="0.3">
      <c r="B9" t="s">
        <v>6213</v>
      </c>
      <c r="C9" s="7">
        <v>29.784999999999997</v>
      </c>
      <c r="D9" s="7"/>
      <c r="E9" s="7">
        <v>145.82</v>
      </c>
      <c r="F9" s="7"/>
    </row>
    <row r="10" spans="1:6" x14ac:dyDescent="0.3">
      <c r="B10" t="s">
        <v>6200</v>
      </c>
      <c r="C10" s="7">
        <v>155.24999999999997</v>
      </c>
      <c r="D10" s="7">
        <v>626.17499999999995</v>
      </c>
      <c r="E10" s="7">
        <v>89.35499999999999</v>
      </c>
      <c r="F10" s="7">
        <v>219.76499999999999</v>
      </c>
    </row>
    <row r="11" spans="1:6" x14ac:dyDescent="0.3">
      <c r="B11" t="s">
        <v>6201</v>
      </c>
      <c r="C11" s="7">
        <v>272.43499999999995</v>
      </c>
      <c r="D11" s="7">
        <v>204.92999999999995</v>
      </c>
      <c r="E11" s="7"/>
      <c r="F11" s="7">
        <v>123.50999999999999</v>
      </c>
    </row>
    <row r="12" spans="1:6" x14ac:dyDescent="0.3">
      <c r="B12" t="s">
        <v>6214</v>
      </c>
      <c r="C12" s="7">
        <v>226.54999999999995</v>
      </c>
      <c r="D12" s="7"/>
      <c r="E12" s="7"/>
      <c r="F12" s="7">
        <v>68.655000000000001</v>
      </c>
    </row>
    <row r="13" spans="1:6" x14ac:dyDescent="0.3">
      <c r="B13" t="s">
        <v>6202</v>
      </c>
      <c r="C13" s="7">
        <v>178.70999999999998</v>
      </c>
      <c r="D13" s="7"/>
      <c r="E13" s="7">
        <v>273.69999999999993</v>
      </c>
      <c r="F13" s="7">
        <v>361.55999999999995</v>
      </c>
    </row>
    <row r="14" spans="1:6" x14ac:dyDescent="0.3">
      <c r="B14" t="s">
        <v>6203</v>
      </c>
      <c r="C14" s="7">
        <v>100.50999999999999</v>
      </c>
      <c r="D14" s="7">
        <v>96.254999999999995</v>
      </c>
      <c r="E14" s="7">
        <v>109.36499999999999</v>
      </c>
      <c r="F14" s="7"/>
    </row>
    <row r="15" spans="1:6" x14ac:dyDescent="0.3">
      <c r="B15" t="s">
        <v>6216</v>
      </c>
      <c r="C15" s="7">
        <v>178.70999999999998</v>
      </c>
      <c r="D15" s="7">
        <v>63.249999999999993</v>
      </c>
      <c r="E15" s="7">
        <v>272.32</v>
      </c>
      <c r="F15" s="7"/>
    </row>
    <row r="16" spans="1:6" x14ac:dyDescent="0.3">
      <c r="B16" t="s">
        <v>6217</v>
      </c>
      <c r="C16" s="7">
        <v>155.24999999999997</v>
      </c>
      <c r="D16" s="7">
        <v>444.01499999999987</v>
      </c>
      <c r="E16" s="7"/>
      <c r="F16" s="7">
        <v>130.52499999999998</v>
      </c>
    </row>
    <row r="17" spans="1:6" x14ac:dyDescent="0.3">
      <c r="A17" t="s">
        <v>6218</v>
      </c>
      <c r="B17" t="s">
        <v>6215</v>
      </c>
      <c r="C17" s="7"/>
      <c r="D17" s="7"/>
      <c r="E17" s="7">
        <v>189.05999999999997</v>
      </c>
      <c r="F17" s="7">
        <v>27.484999999999996</v>
      </c>
    </row>
    <row r="18" spans="1:6" x14ac:dyDescent="0.3">
      <c r="B18" t="s">
        <v>6199</v>
      </c>
      <c r="C18" s="7">
        <v>678.38499999999999</v>
      </c>
      <c r="D18" s="7">
        <v>227.24</v>
      </c>
      <c r="E18" s="7">
        <v>89.35499999999999</v>
      </c>
      <c r="F18" s="7">
        <v>357.30499999999995</v>
      </c>
    </row>
    <row r="19" spans="1:6" x14ac:dyDescent="0.3">
      <c r="B19" t="s">
        <v>6211</v>
      </c>
      <c r="C19" s="7"/>
      <c r="D19" s="7">
        <v>62.099999999999994</v>
      </c>
      <c r="E19" s="7">
        <v>148.92499999999998</v>
      </c>
      <c r="F19" s="7">
        <v>137.31</v>
      </c>
    </row>
    <row r="20" spans="1:6" x14ac:dyDescent="0.3">
      <c r="B20" t="s">
        <v>6212</v>
      </c>
      <c r="C20" s="7"/>
      <c r="D20" s="7">
        <v>252.99999999999997</v>
      </c>
      <c r="E20" s="7">
        <v>33.464999999999996</v>
      </c>
      <c r="F20" s="7">
        <v>196.76499999999999</v>
      </c>
    </row>
    <row r="21" spans="1:6" x14ac:dyDescent="0.3">
      <c r="B21" t="s">
        <v>6213</v>
      </c>
      <c r="C21" s="7">
        <v>77.624999999999986</v>
      </c>
      <c r="D21" s="7">
        <v>472.88</v>
      </c>
      <c r="E21" s="7">
        <v>33.464999999999996</v>
      </c>
      <c r="F21" s="7">
        <v>41.169999999999995</v>
      </c>
    </row>
    <row r="22" spans="1:6" x14ac:dyDescent="0.3">
      <c r="B22" t="s">
        <v>6200</v>
      </c>
      <c r="C22" s="7">
        <v>473.33999999999992</v>
      </c>
      <c r="D22" s="7">
        <v>165.71499999999997</v>
      </c>
      <c r="E22" s="7">
        <v>192.04999999999998</v>
      </c>
      <c r="F22" s="7">
        <v>132.82499999999999</v>
      </c>
    </row>
    <row r="23" spans="1:6" x14ac:dyDescent="0.3">
      <c r="B23" t="s">
        <v>6201</v>
      </c>
      <c r="C23" s="7">
        <v>297.84999999999997</v>
      </c>
      <c r="D23" s="7">
        <v>31.624999999999996</v>
      </c>
      <c r="E23" s="7">
        <v>36.454999999999998</v>
      </c>
      <c r="F23" s="7">
        <v>247.01999999999995</v>
      </c>
    </row>
    <row r="24" spans="1:6" x14ac:dyDescent="0.3">
      <c r="B24" t="s">
        <v>6214</v>
      </c>
      <c r="C24" s="7"/>
      <c r="D24" s="7"/>
      <c r="E24" s="7"/>
      <c r="F24" s="7">
        <v>41.169999999999995</v>
      </c>
    </row>
    <row r="25" spans="1:6" x14ac:dyDescent="0.3">
      <c r="B25" t="s">
        <v>6202</v>
      </c>
      <c r="C25" s="7">
        <v>91.539999999999992</v>
      </c>
      <c r="D25" s="7"/>
      <c r="E25" s="7"/>
      <c r="F25" s="7">
        <v>155.70999999999998</v>
      </c>
    </row>
    <row r="26" spans="1:6" x14ac:dyDescent="0.3">
      <c r="B26" t="s">
        <v>6203</v>
      </c>
      <c r="C26" s="7">
        <v>198.02999999999997</v>
      </c>
      <c r="D26" s="7">
        <v>254.60999999999999</v>
      </c>
      <c r="E26" s="7">
        <v>238.27999999999997</v>
      </c>
      <c r="F26" s="7">
        <v>109.93999999999998</v>
      </c>
    </row>
    <row r="27" spans="1:6" x14ac:dyDescent="0.3">
      <c r="B27" t="s">
        <v>6216</v>
      </c>
      <c r="C27" s="7">
        <v>476.32999999999993</v>
      </c>
      <c r="D27" s="7">
        <v>111.78</v>
      </c>
      <c r="E27" s="7">
        <v>228.505</v>
      </c>
      <c r="F27" s="7">
        <v>27.484999999999996</v>
      </c>
    </row>
    <row r="28" spans="1:6" x14ac:dyDescent="0.3">
      <c r="B28" t="s">
        <v>6217</v>
      </c>
      <c r="C28" s="7"/>
      <c r="D28" s="7">
        <v>171.35</v>
      </c>
      <c r="E28" s="7"/>
      <c r="F28" s="7">
        <v>45.769999999999996</v>
      </c>
    </row>
    <row r="29" spans="1:6" x14ac:dyDescent="0.3">
      <c r="A29" t="s">
        <v>6219</v>
      </c>
      <c r="B29" t="s">
        <v>6215</v>
      </c>
      <c r="C29" s="7">
        <v>77.624999999999986</v>
      </c>
      <c r="D29" s="7">
        <v>31.624999999999996</v>
      </c>
      <c r="E29" s="7">
        <v>29.784999999999997</v>
      </c>
      <c r="F29" s="7">
        <v>91.539999999999992</v>
      </c>
    </row>
    <row r="30" spans="1:6" x14ac:dyDescent="0.3">
      <c r="B30" t="s">
        <v>6199</v>
      </c>
      <c r="C30" s="7">
        <v>217.92499999999995</v>
      </c>
      <c r="D30" s="7">
        <v>139.72499999999999</v>
      </c>
      <c r="E30" s="7">
        <v>139.83999999999997</v>
      </c>
      <c r="F30" s="7"/>
    </row>
    <row r="31" spans="1:6" x14ac:dyDescent="0.3">
      <c r="B31" t="s">
        <v>6211</v>
      </c>
      <c r="C31" s="7">
        <v>268.06499999999994</v>
      </c>
      <c r="D31" s="7">
        <v>194.80999999999997</v>
      </c>
      <c r="E31" s="7">
        <v>228.505</v>
      </c>
      <c r="F31" s="7"/>
    </row>
    <row r="32" spans="1:6" x14ac:dyDescent="0.3">
      <c r="B32" t="s">
        <v>6212</v>
      </c>
      <c r="C32" s="7"/>
      <c r="D32" s="7">
        <v>147.08500000000001</v>
      </c>
      <c r="E32" s="7">
        <v>401.005</v>
      </c>
      <c r="F32" s="7">
        <v>82.339999999999989</v>
      </c>
    </row>
    <row r="33" spans="1:6" x14ac:dyDescent="0.3">
      <c r="B33" t="s">
        <v>6213</v>
      </c>
      <c r="C33" s="7">
        <v>103.49999999999999</v>
      </c>
      <c r="D33" s="7"/>
      <c r="E33" s="7">
        <v>148.92499999999998</v>
      </c>
      <c r="F33" s="7">
        <v>192.39499999999995</v>
      </c>
    </row>
    <row r="34" spans="1:6" x14ac:dyDescent="0.3">
      <c r="B34" t="s">
        <v>6200</v>
      </c>
      <c r="C34" s="7">
        <v>240.80999999999997</v>
      </c>
      <c r="D34" s="7"/>
      <c r="E34" s="7">
        <v>148.92499999999998</v>
      </c>
      <c r="F34" s="7">
        <v>61.754999999999995</v>
      </c>
    </row>
    <row r="35" spans="1:6" x14ac:dyDescent="0.3">
      <c r="B35" t="s">
        <v>6201</v>
      </c>
      <c r="C35" s="7"/>
      <c r="D35" s="7">
        <v>189.74999999999997</v>
      </c>
      <c r="E35" s="7"/>
      <c r="F35" s="7">
        <v>109.93999999999998</v>
      </c>
    </row>
    <row r="36" spans="1:6" x14ac:dyDescent="0.3">
      <c r="B36" t="s">
        <v>6214</v>
      </c>
      <c r="C36" s="7">
        <v>141.10499999999999</v>
      </c>
      <c r="D36" s="7">
        <v>111.78</v>
      </c>
      <c r="E36" s="7"/>
      <c r="F36" s="7">
        <v>196.76499999999999</v>
      </c>
    </row>
    <row r="37" spans="1:6" x14ac:dyDescent="0.3">
      <c r="B37" t="s">
        <v>6202</v>
      </c>
      <c r="C37" s="7">
        <v>629.27999999999986</v>
      </c>
      <c r="D37" s="7">
        <v>83.835000000000008</v>
      </c>
      <c r="E37" s="7"/>
      <c r="F37" s="7">
        <v>109.93999999999998</v>
      </c>
    </row>
    <row r="38" spans="1:6" x14ac:dyDescent="0.3">
      <c r="B38" t="s">
        <v>6203</v>
      </c>
      <c r="C38" s="7">
        <v>166.17499999999998</v>
      </c>
      <c r="D38" s="7">
        <v>187.45</v>
      </c>
      <c r="E38" s="7">
        <v>251.61999999999998</v>
      </c>
      <c r="F38" s="7">
        <v>91.539999999999992</v>
      </c>
    </row>
    <row r="39" spans="1:6" x14ac:dyDescent="0.3">
      <c r="B39" t="s">
        <v>6216</v>
      </c>
      <c r="C39" s="7">
        <v>137.31</v>
      </c>
      <c r="D39" s="7">
        <v>297.84999999999997</v>
      </c>
      <c r="E39" s="7">
        <v>119.13999999999999</v>
      </c>
      <c r="F39" s="7">
        <v>68.655000000000001</v>
      </c>
    </row>
    <row r="40" spans="1:6" x14ac:dyDescent="0.3">
      <c r="B40" t="s">
        <v>6217</v>
      </c>
      <c r="C40" s="7">
        <v>178.70999999999998</v>
      </c>
      <c r="D40" s="7"/>
      <c r="E40" s="7">
        <v>212.75</v>
      </c>
      <c r="F40" s="7">
        <v>137.42499999999998</v>
      </c>
    </row>
    <row r="41" spans="1:6" x14ac:dyDescent="0.3">
      <c r="A41" t="s">
        <v>6220</v>
      </c>
      <c r="B41" t="s">
        <v>6215</v>
      </c>
      <c r="C41" s="7">
        <v>51.749999999999993</v>
      </c>
      <c r="D41" s="7"/>
      <c r="E41" s="7">
        <v>625.71499999999992</v>
      </c>
      <c r="F41" s="7">
        <v>45.769999999999996</v>
      </c>
    </row>
    <row r="42" spans="1:6" x14ac:dyDescent="0.3">
      <c r="B42" t="s">
        <v>6199</v>
      </c>
      <c r="C42" s="7"/>
      <c r="D42" s="7">
        <v>55.89</v>
      </c>
      <c r="E42" s="7">
        <v>36.454999999999998</v>
      </c>
      <c r="F42" s="7"/>
    </row>
    <row r="43" spans="1:6" x14ac:dyDescent="0.3">
      <c r="B43" t="s">
        <v>6211</v>
      </c>
      <c r="C43" s="7">
        <v>148.92499999999998</v>
      </c>
      <c r="D43" s="7">
        <v>102.46499999999997</v>
      </c>
      <c r="E43" s="7">
        <v>296.125</v>
      </c>
      <c r="F43" s="7">
        <v>288.4199999999999</v>
      </c>
    </row>
    <row r="44" spans="1:6" x14ac:dyDescent="0.3">
      <c r="B44" t="s">
        <v>6212</v>
      </c>
      <c r="C44" s="7">
        <v>51.749999999999993</v>
      </c>
      <c r="D44" s="7">
        <v>164.56499999999997</v>
      </c>
      <c r="E44" s="7"/>
      <c r="F44" s="7">
        <v>102.92499999999998</v>
      </c>
    </row>
    <row r="45" spans="1:6" x14ac:dyDescent="0.3">
      <c r="B45" t="s">
        <v>6213</v>
      </c>
      <c r="C45" s="7">
        <v>71.644999999999996</v>
      </c>
      <c r="D45" s="7">
        <v>126.49999999999999</v>
      </c>
      <c r="E45" s="7">
        <v>163.64499999999998</v>
      </c>
      <c r="F45" s="7">
        <v>164.67999999999998</v>
      </c>
    </row>
    <row r="46" spans="1:6" x14ac:dyDescent="0.3">
      <c r="B46" t="s">
        <v>6200</v>
      </c>
      <c r="C46" s="7"/>
      <c r="D46" s="7">
        <v>359.37499999999994</v>
      </c>
      <c r="E46" s="7">
        <v>145.82</v>
      </c>
      <c r="F46" s="7">
        <v>308.89</v>
      </c>
    </row>
    <row r="47" spans="1:6" x14ac:dyDescent="0.3">
      <c r="B47" t="s">
        <v>6201</v>
      </c>
      <c r="C47" s="7">
        <v>195.95999999999998</v>
      </c>
      <c r="D47" s="7">
        <v>158.12499999999997</v>
      </c>
      <c r="E47" s="7">
        <v>178.70999999999998</v>
      </c>
      <c r="F47" s="7">
        <v>45.769999999999996</v>
      </c>
    </row>
    <row r="48" spans="1:6" x14ac:dyDescent="0.3">
      <c r="B48" t="s">
        <v>6214</v>
      </c>
      <c r="C48" s="7">
        <v>29.784999999999997</v>
      </c>
      <c r="D48" s="7"/>
      <c r="E48" s="7"/>
      <c r="F4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5224-C7ED-4EA2-ABC2-ACB9ED095667}">
  <dimension ref="A3:B6"/>
  <sheetViews>
    <sheetView workbookViewId="0">
      <selection activeCell="O10" sqref="O10"/>
    </sheetView>
  </sheetViews>
  <sheetFormatPr defaultRowHeight="14.4" x14ac:dyDescent="0.3"/>
  <cols>
    <col min="1" max="1" width="14" bestFit="1" customWidth="1"/>
    <col min="2" max="2" width="11.6640625" bestFit="1" customWidth="1"/>
    <col min="3" max="3" width="14.77734375" bestFit="1" customWidth="1"/>
    <col min="4" max="4" width="12.21875" bestFit="1" customWidth="1"/>
    <col min="5" max="6" width="7.88671875" bestFit="1" customWidth="1"/>
  </cols>
  <sheetData>
    <row r="3" spans="1:2" x14ac:dyDescent="0.3">
      <c r="A3" s="6" t="s">
        <v>7</v>
      </c>
      <c r="B3" t="s">
        <v>6209</v>
      </c>
    </row>
    <row r="4" spans="1:2" x14ac:dyDescent="0.3">
      <c r="A4" t="s">
        <v>28</v>
      </c>
      <c r="B4" s="8">
        <v>1173.92</v>
      </c>
    </row>
    <row r="5" spans="1:2" x14ac:dyDescent="0.3">
      <c r="A5" t="s">
        <v>318</v>
      </c>
      <c r="B5" s="8">
        <v>3570.29</v>
      </c>
    </row>
    <row r="6" spans="1:2" x14ac:dyDescent="0.3">
      <c r="A6" t="s">
        <v>19</v>
      </c>
      <c r="B6" s="8">
        <v>19041.354999999992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F26FB-1819-47DC-A766-2A9403558EA2}">
  <dimension ref="A3:B12"/>
  <sheetViews>
    <sheetView workbookViewId="0">
      <selection activeCell="A3" sqref="A3"/>
    </sheetView>
  </sheetViews>
  <sheetFormatPr defaultRowHeight="14.4" x14ac:dyDescent="0.3"/>
  <cols>
    <col min="1" max="1" width="16.88671875" bestFit="1" customWidth="1"/>
    <col min="2" max="2" width="11.6640625" bestFit="1" customWidth="1"/>
    <col min="3" max="3" width="14.77734375" bestFit="1" customWidth="1"/>
    <col min="4" max="4" width="12.21875" bestFit="1" customWidth="1"/>
    <col min="5" max="6" width="7.88671875" bestFit="1" customWidth="1"/>
  </cols>
  <sheetData>
    <row r="3" spans="1:2" x14ac:dyDescent="0.3">
      <c r="A3" s="6" t="s">
        <v>4</v>
      </c>
      <c r="B3" t="s">
        <v>6209</v>
      </c>
    </row>
    <row r="4" spans="1:2" x14ac:dyDescent="0.3">
      <c r="A4" t="s">
        <v>1472</v>
      </c>
      <c r="B4" s="8">
        <v>204.92999999999995</v>
      </c>
    </row>
    <row r="5" spans="1:2" x14ac:dyDescent="0.3">
      <c r="A5" t="s">
        <v>2177</v>
      </c>
      <c r="B5" s="8">
        <v>204.92999999999995</v>
      </c>
    </row>
    <row r="6" spans="1:2" x14ac:dyDescent="0.3">
      <c r="A6" t="s">
        <v>2046</v>
      </c>
      <c r="B6" s="8">
        <v>204.92999999999995</v>
      </c>
    </row>
    <row r="7" spans="1:2" x14ac:dyDescent="0.3">
      <c r="A7" t="s">
        <v>2275</v>
      </c>
      <c r="B7" s="8">
        <v>204.92999999999995</v>
      </c>
    </row>
    <row r="8" spans="1:2" x14ac:dyDescent="0.3">
      <c r="A8" t="s">
        <v>3820</v>
      </c>
      <c r="B8" s="8">
        <v>204.92999999999995</v>
      </c>
    </row>
    <row r="9" spans="1:2" x14ac:dyDescent="0.3">
      <c r="A9" t="s">
        <v>2454</v>
      </c>
      <c r="B9" s="8">
        <v>204.92999999999995</v>
      </c>
    </row>
    <row r="10" spans="1:2" x14ac:dyDescent="0.3">
      <c r="A10" t="s">
        <v>1386</v>
      </c>
      <c r="B10" s="8">
        <v>218.73</v>
      </c>
    </row>
    <row r="11" spans="1:2" x14ac:dyDescent="0.3">
      <c r="A11" t="s">
        <v>5114</v>
      </c>
      <c r="B11" s="8">
        <v>237.81999999999996</v>
      </c>
    </row>
    <row r="12" spans="1:2" x14ac:dyDescent="0.3">
      <c r="A12" t="s">
        <v>5765</v>
      </c>
      <c r="B12" s="8">
        <v>253.68999999999997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codeName="Sheet1"/>
  <dimension ref="A1:P1001"/>
  <sheetViews>
    <sheetView topLeftCell="F1" zoomScale="115" zoomScaleNormal="115" workbookViewId="0">
      <selection activeCell="P1" sqref="P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codeName="Sheet2"/>
  <dimension ref="A1:I1001"/>
  <sheetViews>
    <sheetView topLeftCell="C1" workbookViewId="0">
      <selection activeCell="G1" sqref="G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codeName="Sheet3"/>
  <dimension ref="A1:G49"/>
  <sheetViews>
    <sheetView workbookViewId="0">
      <selection activeCell="M1" sqref="M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Phyo Ko</cp:lastModifiedBy>
  <cp:revision/>
  <dcterms:created xsi:type="dcterms:W3CDTF">2022-11-26T09:51:45Z</dcterms:created>
  <dcterms:modified xsi:type="dcterms:W3CDTF">2025-12-11T04:36:18Z</dcterms:modified>
  <cp:category/>
  <cp:contentStatus/>
</cp:coreProperties>
</file>